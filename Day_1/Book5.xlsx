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swa\"/>
    </mc:Choice>
  </mc:AlternateContent>
  <xr:revisionPtr revIDLastSave="0" documentId="13_ncr:1_{B15CE8B6-51D4-4A23-8D93-EA1B659BB83B}" xr6:coauthVersionLast="47" xr6:coauthVersionMax="47" xr10:uidLastSave="{00000000-0000-0000-0000-000000000000}"/>
  <bookViews>
    <workbookView xWindow="-108" yWindow="-108" windowWidth="23256" windowHeight="12456" activeTab="1" xr2:uid="{5E37DCBC-F39B-4FBC-8503-F0C27C2808C6}"/>
  </bookViews>
  <sheets>
    <sheet name="Sheet2" sheetId="8" r:id="rId1"/>
    <sheet name="Sheet3" sheetId="9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<sst xmlns="http://schemas.openxmlformats.org/spreadsheetml/2006/main" count="75" uniqueCount="54">
  <si>
    <t>Marks</t>
  </si>
  <si>
    <t>A</t>
  </si>
  <si>
    <t>B</t>
  </si>
  <si>
    <t>Student</t>
  </si>
  <si>
    <t>C</t>
  </si>
  <si>
    <t>D</t>
  </si>
  <si>
    <t>E</t>
  </si>
  <si>
    <t>F</t>
  </si>
  <si>
    <t>G</t>
  </si>
  <si>
    <t>H</t>
  </si>
  <si>
    <t>I</t>
  </si>
  <si>
    <t>J</t>
  </si>
  <si>
    <t>Study Hours</t>
  </si>
  <si>
    <t>Mean</t>
  </si>
  <si>
    <t>Sum</t>
  </si>
  <si>
    <t>Median</t>
  </si>
  <si>
    <t>Mode</t>
  </si>
  <si>
    <t>Range</t>
  </si>
  <si>
    <t>variance</t>
  </si>
  <si>
    <t xml:space="preserve">Standard  Deviation 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</si>
  <si>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</si>
  <si>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</si>
  <si>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</si>
  <si>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</si>
  <si>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</si>
  <si>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</si>
  <si>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</si>
  <si>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</si>
  <si>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</si>
  <si>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</si>
  <si>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</si>
  <si>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</si>
  <si>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</si>
  <si>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</si>
  <si>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</si>
  <si>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</si>
  <si>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</si>
  <si>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</si>
  <si>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</si>
  <si>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</si>
  <si>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</si>
  <si>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</si>
  <si>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</si>
  <si>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</si>
  <si>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</si>
  <si>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</si>
  <si>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Column2</t>
  </si>
  <si>
    <t>Standard Deviation</t>
  </si>
  <si>
    <t>Sample Variance</t>
  </si>
  <si>
    <t>Kurtosis</t>
  </si>
  <si>
    <t>Skewness</t>
  </si>
  <si>
    <t>Minimum</t>
  </si>
  <si>
    <t>Maximum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</si>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</sst>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marks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70</c:v>
                </c:pt>
                <c:pt idx="1">
                  <c:v>46</c:v>
                </c:pt>
                <c:pt idx="2">
                  <c:v>30</c:v>
                </c:pt>
                <c:pt idx="3">
                  <c:v>20</c:v>
                </c:pt>
                <c:pt idx="4">
                  <c:v>50</c:v>
                </c:pt>
                <c:pt idx="5">
                  <c:v>70</c:v>
                </c:pt>
                <c:pt idx="6">
                  <c:v>86</c:v>
                </c:pt>
                <c:pt idx="7">
                  <c:v>90</c:v>
                </c:pt>
                <c:pt idx="8">
                  <c:v>87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1-4259-AEFE-FE08F9830C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1-4259-AEFE-FE08F983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3445136"/>
        <c:axId val="937944704"/>
        <c:axId val="698728624"/>
      </c:bar3DChart>
      <c:catAx>
        <c:axId val="6934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44704"/>
        <c:crosses val="autoZero"/>
        <c:auto val="1"/>
        <c:lblAlgn val="ctr"/>
        <c:lblOffset val="100"/>
        <c:noMultiLvlLbl val="0"/>
      </c:catAx>
      <c:valAx>
        <c:axId val="9379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45136"/>
        <c:crosses val="autoZero"/>
        <c:crossBetween val="between"/>
      </c:valAx>
      <c:serAx>
        <c:axId val="69872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944704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72-4B45-AC12-E3A3A47EAB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72-4B45-AC12-E3A3A47EAB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72-4B45-AC12-E3A3A47EA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72-4B45-AC12-E3A3A47EAB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72-4B45-AC12-E3A3A47EAB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72-4B45-AC12-E3A3A47EAB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72-4B45-AC12-E3A3A47EAB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72-4B45-AC12-E3A3A47EAB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72-4B45-AC12-E3A3A47EAB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72-4B45-AC12-E3A3A47EABF8}"/>
              </c:ext>
            </c:extLst>
          </c:dPt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70</c:v>
                </c:pt>
                <c:pt idx="1">
                  <c:v>46</c:v>
                </c:pt>
                <c:pt idx="2">
                  <c:v>30</c:v>
                </c:pt>
                <c:pt idx="3">
                  <c:v>20</c:v>
                </c:pt>
                <c:pt idx="4">
                  <c:v>50</c:v>
                </c:pt>
                <c:pt idx="5">
                  <c:v>70</c:v>
                </c:pt>
                <c:pt idx="6">
                  <c:v>86</c:v>
                </c:pt>
                <c:pt idx="7">
                  <c:v>90</c:v>
                </c:pt>
                <c:pt idx="8">
                  <c:v>87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D-46F8-B6F5-EFB79846A1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72-4B45-AC12-E3A3A47EAB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72-4B45-AC12-E3A3A47EAB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E72-4B45-AC12-E3A3A47EAB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E72-4B45-AC12-E3A3A47EAB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E72-4B45-AC12-E3A3A47EAB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E72-4B45-AC12-E3A3A47EAB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E72-4B45-AC12-E3A3A47EAB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E72-4B45-AC12-E3A3A47EAB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E72-4B45-AC12-E3A3A47EAB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E72-4B45-AC12-E3A3A47EABF8}"/>
              </c:ext>
            </c:extLst>
          </c:dPt>
          <c:cat>
            <c:strRef>
              <c:f>Sheet1!$A$2:$A$11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D-46F8-B6F5-EFB79846A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</xdr:row>
      <xdr:rowOff>33337</xdr:rowOff>
    </xdr:from>
    <xdr:to>
      <xdr:col>13</xdr:col>
      <xdr:colOff>114300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4443D8-435A-2F5B-FB40-9E658053D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295274</xdr:colOff>
      <xdr:row>2</xdr:row>
      <xdr:rowOff>109537</xdr:rowOff>
    </xdr:from>
    <xdr:to>
      <xdr:col>21</xdr:col>
      <xdr:colOff>552449</xdr:colOff>
      <xdr:row>20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436D89-2F9B-9EF3-6747-7500F7633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FE0F-3D27-471D-B17B-1F3861A16B02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4" t="s">
        <v>22</v>
      </c>
      <c r="B3" s="4"/>
    </row>
    <row r="4" spans="1:9" x14ac:dyDescent="0.3">
      <c r="A4" s="1" t="s">
        <v>23</v>
      </c>
      <c r="B4" s="1">
        <v>0.40843070021382799</v>
      </c>
    </row>
    <row r="5" spans="1:9" x14ac:dyDescent="0.3">
      <c r="A5" s="1" t="s">
        <v>24</v>
      </c>
      <c r="B5" s="1">
        <v>0.16681563687715784</v>
      </c>
    </row>
    <row r="6" spans="1:9" x14ac:dyDescent="0.3">
      <c r="A6" s="1" t="s">
        <v>25</v>
      </c>
      <c r="B6" s="1">
        <v>6.2667591486802565E-2</v>
      </c>
    </row>
    <row r="7" spans="1:9" x14ac:dyDescent="0.3">
      <c r="A7" s="1" t="s">
        <v>26</v>
      </c>
      <c r="B7" s="1">
        <v>24.046628928225914</v>
      </c>
    </row>
    <row r="8" spans="1:9" ht="15" thickBot="1" x14ac:dyDescent="0.35">
      <c r="A8" s="2" t="s">
        <v>27</v>
      </c>
      <c r="B8" s="2">
        <v>10</v>
      </c>
    </row>
    <row r="10" spans="1:9" ht="15" thickBot="1" x14ac:dyDescent="0.35">
      <c r="A10" t="s">
        <v>28</v>
      </c>
    </row>
    <row r="11" spans="1:9" x14ac:dyDescent="0.3">
      <c r="A11" s="3"/>
      <c r="B11" s="3" t="s">
        <v>33</v>
      </c>
      <c r="C11" s="3" t="s">
        <v>34</v>
      </c>
      <c r="D11" s="3" t="s">
        <v>35</v>
      </c>
      <c r="E11" s="3" t="s">
        <v>7</v>
      </c>
      <c r="F11" s="3" t="s">
        <v>36</v>
      </c>
    </row>
    <row r="12" spans="1:9" x14ac:dyDescent="0.3">
      <c r="A12" s="1" t="s">
        <v>29</v>
      </c>
      <c r="B12" s="1">
        <v>1</v>
      </c>
      <c r="C12" s="1">
        <v>926.17709750566792</v>
      </c>
      <c r="D12" s="1">
        <v>926.17709750566792</v>
      </c>
      <c r="E12" s="1">
        <v>1.6017164436636269</v>
      </c>
      <c r="F12" s="1">
        <v>0.24127311869972701</v>
      </c>
    </row>
    <row r="13" spans="1:9" x14ac:dyDescent="0.3">
      <c r="A13" s="1" t="s">
        <v>30</v>
      </c>
      <c r="B13" s="1">
        <v>8</v>
      </c>
      <c r="C13" s="1">
        <v>4625.9229024943315</v>
      </c>
      <c r="D13" s="1">
        <v>578.24036281179144</v>
      </c>
      <c r="E13" s="1"/>
      <c r="F13" s="1"/>
    </row>
    <row r="14" spans="1:9" ht="15" thickBot="1" x14ac:dyDescent="0.35">
      <c r="A14" s="2" t="s">
        <v>31</v>
      </c>
      <c r="B14" s="2">
        <v>9</v>
      </c>
      <c r="C14" s="2">
        <v>5552.0999999999995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37</v>
      </c>
      <c r="C16" s="3" t="s">
        <v>26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43</v>
      </c>
    </row>
    <row r="17" spans="1:9" x14ac:dyDescent="0.3">
      <c r="A17" s="1" t="s">
        <v>32</v>
      </c>
      <c r="B17" s="1">
        <v>91.571428571428584</v>
      </c>
      <c r="C17" s="1">
        <v>24.04662892822591</v>
      </c>
      <c r="D17" s="1">
        <v>3.8080775831302542</v>
      </c>
      <c r="E17" s="1">
        <v>5.1767776655906837E-3</v>
      </c>
      <c r="F17" s="1">
        <v>36.119802825219487</v>
      </c>
      <c r="G17" s="1">
        <v>147.02305431763767</v>
      </c>
      <c r="H17" s="1">
        <v>36.119802825219487</v>
      </c>
      <c r="I17" s="1">
        <v>147.02305431763767</v>
      </c>
    </row>
    <row r="18" spans="1:9" ht="15" thickBot="1" x14ac:dyDescent="0.35">
      <c r="A18" s="2" t="s">
        <v>44</v>
      </c>
      <c r="B18" s="2">
        <v>-4.5827664399092978</v>
      </c>
      <c r="C18" s="2">
        <v>3.6210532124803572</v>
      </c>
      <c r="D18" s="2">
        <v>-1.2655893661309066</v>
      </c>
      <c r="E18" s="2">
        <v>0.24127311869972662</v>
      </c>
      <c r="F18" s="2">
        <v>-12.932930121683334</v>
      </c>
      <c r="G18" s="2">
        <v>3.7673972418647388</v>
      </c>
      <c r="H18" s="2">
        <v>-12.932930121683334</v>
      </c>
      <c r="I18" s="2">
        <v>3.7673972418647388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5EEE-DD69-45D8-9019-2F9B20EF09F2}">
  <dimension ref="A1:D15"/>
  <sheetViews>
    <sheetView tabSelected="1" workbookViewId="0">
      <selection activeCell="K15" sqref="K15"/>
    </sheetView>
  </sheetViews>
  <sheetFormatPr defaultRowHeight="14.4" x14ac:dyDescent="0.3"/>
  <sheetData>
    <row r="1" spans="1:4" x14ac:dyDescent="0.3">
      <c r="A1" s="3" t="s">
        <v>45</v>
      </c>
      <c r="B1" s="3"/>
      <c r="C1" s="3" t="s">
        <v>46</v>
      </c>
      <c r="D1" s="3"/>
    </row>
    <row r="2" spans="1:4" x14ac:dyDescent="0.3">
      <c r="A2" s="1"/>
      <c r="B2" s="1"/>
      <c r="C2" s="1"/>
      <c r="D2" s="1"/>
    </row>
    <row r="3" spans="1:4" x14ac:dyDescent="0.3">
      <c r="A3" s="1" t="s">
        <v>13</v>
      </c>
      <c r="B3" s="1">
        <v>62.7</v>
      </c>
      <c r="C3" s="1" t="s">
        <v>13</v>
      </c>
      <c r="D3" s="1">
        <v>6.3</v>
      </c>
    </row>
    <row r="4" spans="1:4" x14ac:dyDescent="0.3">
      <c r="A4" s="1" t="s">
        <v>26</v>
      </c>
      <c r="B4" s="1">
        <v>7.8542981863435761</v>
      </c>
      <c r="C4" s="1" t="s">
        <v>26</v>
      </c>
      <c r="D4" s="1">
        <v>0.70000000000000007</v>
      </c>
    </row>
    <row r="5" spans="1:4" x14ac:dyDescent="0.3">
      <c r="A5" s="1" t="s">
        <v>15</v>
      </c>
      <c r="B5" s="1">
        <v>70</v>
      </c>
      <c r="C5" s="1" t="s">
        <v>15</v>
      </c>
      <c r="D5" s="1">
        <v>6.5</v>
      </c>
    </row>
    <row r="6" spans="1:4" x14ac:dyDescent="0.3">
      <c r="A6" s="1" t="s">
        <v>16</v>
      </c>
      <c r="B6" s="1">
        <v>70</v>
      </c>
      <c r="C6" s="1" t="s">
        <v>16</v>
      </c>
      <c r="D6" s="1">
        <v>6</v>
      </c>
    </row>
    <row r="7" spans="1:4" x14ac:dyDescent="0.3">
      <c r="A7" s="1" t="s">
        <v>47</v>
      </c>
      <c r="B7" s="1">
        <v>24.83747169097531</v>
      </c>
      <c r="C7" s="1" t="s">
        <v>47</v>
      </c>
      <c r="D7" s="1">
        <v>2.213594362117866</v>
      </c>
    </row>
    <row r="8" spans="1:4" x14ac:dyDescent="0.3">
      <c r="A8" s="1" t="s">
        <v>48</v>
      </c>
      <c r="B8" s="1">
        <v>616.89999999999986</v>
      </c>
      <c r="C8" s="1" t="s">
        <v>48</v>
      </c>
      <c r="D8" s="1">
        <v>4.9000000000000021</v>
      </c>
    </row>
    <row r="9" spans="1:4" x14ac:dyDescent="0.3">
      <c r="A9" s="1" t="s">
        <v>49</v>
      </c>
      <c r="B9" s="1">
        <v>-0.99526820718496367</v>
      </c>
      <c r="C9" s="1" t="s">
        <v>49</v>
      </c>
      <c r="D9" s="1">
        <v>3.4987406041133671</v>
      </c>
    </row>
    <row r="10" spans="1:4" x14ac:dyDescent="0.3">
      <c r="A10" s="1" t="s">
        <v>50</v>
      </c>
      <c r="B10" s="1">
        <v>-0.61477318480637333</v>
      </c>
      <c r="C10" s="1" t="s">
        <v>50</v>
      </c>
      <c r="D10" s="1">
        <v>-1.5488706906947165</v>
      </c>
    </row>
    <row r="11" spans="1:4" x14ac:dyDescent="0.3">
      <c r="A11" s="1" t="s">
        <v>17</v>
      </c>
      <c r="B11" s="1">
        <v>70</v>
      </c>
      <c r="C11" s="1" t="s">
        <v>17</v>
      </c>
      <c r="D11" s="1">
        <v>8</v>
      </c>
    </row>
    <row r="12" spans="1:4" x14ac:dyDescent="0.3">
      <c r="A12" s="1" t="s">
        <v>51</v>
      </c>
      <c r="B12" s="1">
        <v>20</v>
      </c>
      <c r="C12" s="1" t="s">
        <v>51</v>
      </c>
      <c r="D12" s="1">
        <v>1</v>
      </c>
    </row>
    <row r="13" spans="1:4" x14ac:dyDescent="0.3">
      <c r="A13" s="1" t="s">
        <v>52</v>
      </c>
      <c r="B13" s="1">
        <v>90</v>
      </c>
      <c r="C13" s="1" t="s">
        <v>52</v>
      </c>
      <c r="D13" s="1">
        <v>9</v>
      </c>
    </row>
    <row r="14" spans="1:4" x14ac:dyDescent="0.3">
      <c r="A14" s="1" t="s">
        <v>14</v>
      </c>
      <c r="B14" s="1">
        <v>627</v>
      </c>
      <c r="C14" s="1" t="s">
        <v>14</v>
      </c>
      <c r="D14" s="1">
        <v>63</v>
      </c>
    </row>
    <row r="15" spans="1:4" ht="15" thickBot="1" x14ac:dyDescent="0.35">
      <c r="A15" s="2" t="s">
        <v>53</v>
      </c>
      <c r="B15" s="2">
        <v>10</v>
      </c>
      <c r="C15" s="2" t="s">
        <v>53</v>
      </c>
      <c r="D15" s="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1146-22F4-44BA-8BE4-1E8D453F3A33}">
  <dimension ref="A1:C19"/>
  <sheetViews>
    <sheetView workbookViewId="0">
      <selection activeCell="C2" sqref="C2"/>
    </sheetView>
  </sheetViews>
  <sheetFormatPr defaultRowHeight="14.4" x14ac:dyDescent="0.3"/>
  <cols>
    <col min="1" max="1" width="19" customWidth="1"/>
    <col min="2" max="2" width="13" customWidth="1"/>
    <col min="3" max="3" width="14.33203125" customWidth="1"/>
  </cols>
  <sheetData>
    <row r="1" spans="1:3" x14ac:dyDescent="0.3">
      <c r="A1" t="s">
        <v>3</v>
      </c>
      <c r="B1" t="s">
        <v>0</v>
      </c>
      <c r="C1" t="s">
        <v>12</v>
      </c>
    </row>
    <row r="2" spans="1:3" x14ac:dyDescent="0.3">
      <c r="A2" t="s">
        <v>1</v>
      </c>
      <c r="B2">
        <v>70</v>
      </c>
      <c r="C2">
        <v>6</v>
      </c>
    </row>
    <row r="3" spans="1:3" x14ac:dyDescent="0.3">
      <c r="A3" t="s">
        <v>2</v>
      </c>
      <c r="B3">
        <v>46</v>
      </c>
      <c r="C3">
        <v>5</v>
      </c>
    </row>
    <row r="4" spans="1:3" x14ac:dyDescent="0.3">
      <c r="A4" t="s">
        <v>4</v>
      </c>
      <c r="B4">
        <v>30</v>
      </c>
      <c r="C4">
        <v>8</v>
      </c>
    </row>
    <row r="5" spans="1:3" x14ac:dyDescent="0.3">
      <c r="A5" t="s">
        <v>5</v>
      </c>
      <c r="B5">
        <v>20</v>
      </c>
      <c r="C5">
        <v>7</v>
      </c>
    </row>
    <row r="6" spans="1:3" x14ac:dyDescent="0.3">
      <c r="A6" t="s">
        <v>6</v>
      </c>
      <c r="B6">
        <v>50</v>
      </c>
      <c r="C6">
        <v>9</v>
      </c>
    </row>
    <row r="7" spans="1:3" x14ac:dyDescent="0.3">
      <c r="A7" t="s">
        <v>7</v>
      </c>
      <c r="B7">
        <v>70</v>
      </c>
      <c r="C7">
        <v>6</v>
      </c>
    </row>
    <row r="8" spans="1:3" x14ac:dyDescent="0.3">
      <c r="A8" t="s">
        <v>8</v>
      </c>
      <c r="B8">
        <v>86</v>
      </c>
      <c r="C8">
        <v>6</v>
      </c>
    </row>
    <row r="9" spans="1:3" x14ac:dyDescent="0.3">
      <c r="A9" t="s">
        <v>9</v>
      </c>
      <c r="B9">
        <v>90</v>
      </c>
      <c r="C9">
        <v>1</v>
      </c>
    </row>
    <row r="10" spans="1:3" x14ac:dyDescent="0.3">
      <c r="A10" t="s">
        <v>10</v>
      </c>
      <c r="B10">
        <v>87</v>
      </c>
      <c r="C10">
        <v>8</v>
      </c>
    </row>
    <row r="11" spans="1:3" x14ac:dyDescent="0.3">
      <c r="A11" t="s">
        <v>11</v>
      </c>
      <c r="B11">
        <v>78</v>
      </c>
      <c r="C11">
        <v>7</v>
      </c>
    </row>
    <row r="12" spans="1:3" x14ac:dyDescent="0.3">
      <c r="A12" t="s">
        <v>14</v>
      </c>
      <c r="B12">
        <f>SUM(B2:B11)</f>
        <v>627</v>
      </c>
    </row>
    <row r="13" spans="1:3" x14ac:dyDescent="0.3">
      <c r="A13" t="s">
        <v>13</v>
      </c>
      <c r="B13">
        <f>AVERAGE(B2:B11)</f>
        <v>62.7</v>
      </c>
    </row>
    <row r="14" spans="1:3" x14ac:dyDescent="0.3">
      <c r="A14" t="s">
        <v>15</v>
      </c>
      <c r="B14">
        <f>MEDIAN(B2:B11)</f>
        <v>70</v>
      </c>
    </row>
    <row r="15" spans="1:3" x14ac:dyDescent="0.3">
      <c r="A15" t="s">
        <v>16</v>
      </c>
      <c r="B15">
        <f>_xlfn.MODE.SNGL(B2:B11)</f>
        <v>70</v>
      </c>
    </row>
    <row r="16" spans="1:3" x14ac:dyDescent="0.3">
      <c r="A16" t="s">
        <v>17</v>
      </c>
      <c r="B16">
        <f>MAX(B2:B11)-MIN(B2:B11)</f>
        <v>70</v>
      </c>
    </row>
    <row r="17" spans="1:2" x14ac:dyDescent="0.3">
      <c r="A17" t="s">
        <v>18</v>
      </c>
      <c r="B17">
        <f>_xlfn.VAR.S(B2:B11)</f>
        <v>616.89999999999986</v>
      </c>
    </row>
    <row r="18" spans="1:2" x14ac:dyDescent="0.3">
      <c r="A18" t="s">
        <v>19</v>
      </c>
      <c r="B18">
        <f>_xlfn.STDEV.S(B2:B11)</f>
        <v>24.83747169097531</v>
      </c>
    </row>
    <row r="19" spans="1:2" x14ac:dyDescent="0.3">
      <c r="A19" t="s">
        <v>20</v>
      </c>
      <c r="B19">
        <f>CORREL(B2:B11,C2:C11)</f>
        <v>-0.40843070021382827</v>
      </c>
    </row>
  </sheetData>
  <conditionalFormatting sqref="B2:B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2026-05-26T08:31:57Z</dcterms:created>
  <dcterms:modified xsi:type="dcterms:W3CDTF">2026-05-27T02:29:55Z</dcterms:modified>
</cp:coreProperties>
</file>