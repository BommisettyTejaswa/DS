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55\"/>
    </mc:Choice>
  </mc:AlternateContent>
  <xr:revisionPtr revIDLastSave="0" documentId="8_{553ED284-65F5-448A-9EBF-3BD7CA79DAA4}" xr6:coauthVersionLast="47" xr6:coauthVersionMax="47" xr10:uidLastSave="{00000000-0000-0000-0000-000000000000}"/>
  <bookViews>
    <workbookView xWindow="-120" yWindow="-120" windowWidth="29040" windowHeight="15720" activeTab="2" xr2:uid="{E7C0BDFF-42B4-41CD-B2F1-22D05C8AAAD6}"/>
  </bookViews>
  <sheets>
    <sheet name="Sheet2" sheetId="2" r:id="rId1"/>
    <sheet name="Sheet3" sheetId="3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10" hidden="1">Sheet1!$C$1</definedName>
    <definedName name="_xlchart.v1.11" hidden="1">Sheet1!$C$2:$C$14</definedName>
    <definedName name="_xlchart.v1.12" hidden="1">Sheet1!$C$2:$C$22</definedName>
    <definedName name="_xlchart.v1.13" hidden="1">Sheet1!$A$2:$A$22</definedName>
    <definedName name="_xlchart.v1.14" hidden="1">Sheet1!$B$1</definedName>
    <definedName name="_xlchart.v1.15" hidden="1">Sheet1!$B$2:$B$22</definedName>
    <definedName name="_xlchart.v1.16" hidden="1">Sheet1!$C$1</definedName>
    <definedName name="_xlchart.v1.17" hidden="1">Sheet1!$C$2:$C$22</definedName>
    <definedName name="_xlchart.v1.2" hidden="1">Sheet1!$B$2:$B$14</definedName>
    <definedName name="_xlchart.v1.3" hidden="1">Sheet1!$C$1</definedName>
    <definedName name="_xlchart.v1.4" hidden="1">Sheet1!$C$2:$C$14</definedName>
    <definedName name="_xlchart.v1.5" hidden="1">Sheet1!$A$2:$A$14</definedName>
    <definedName name="_xlchart.v1.6" hidden="1">Sheet1!$A$2:$A$22</definedName>
    <definedName name="_xlchart.v1.7" hidden="1">Sheet1!$B$1</definedName>
    <definedName name="_xlchart.v1.8" hidden="1">Sheet1!$B$2:$B$14</definedName>
    <definedName name="_xlchart.v1.9" hidden="1">Sheet1!$B$2:$B$22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<sst xmlns="http://schemas.openxmlformats.org/spreadsheetml/2006/main" count="64" uniqueCount="57">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</sst>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90</c:v>
                </c:pt>
                <c:pt idx="1">
                  <c:v>80</c:v>
                </c:pt>
                <c:pt idx="2">
                  <c:v>86</c:v>
                </c:pt>
                <c:pt idx="3">
                  <c:v>45</c:v>
                </c:pt>
                <c:pt idx="4">
                  <c:v>70</c:v>
                </c:pt>
                <c:pt idx="5">
                  <c:v>75</c:v>
                </c:pt>
                <c:pt idx="6">
                  <c:v>84</c:v>
                </c:pt>
                <c:pt idx="7">
                  <c:v>67</c:v>
                </c:pt>
                <c:pt idx="8">
                  <c:v>72</c:v>
                </c:pt>
                <c:pt idx="9">
                  <c:v>60</c:v>
                </c:pt>
                <c:pt idx="10">
                  <c:v>80</c:v>
                </c:pt>
                <c:pt idx="11">
                  <c:v>67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90</c:v>
                </c:pt>
                <c:pt idx="1">
                  <c:v>80</c:v>
                </c:pt>
                <c:pt idx="2">
                  <c:v>86</c:v>
                </c:pt>
                <c:pt idx="3">
                  <c:v>45</c:v>
                </c:pt>
                <c:pt idx="4">
                  <c:v>70</c:v>
                </c:pt>
                <c:pt idx="5">
                  <c:v>75</c:v>
                </c:pt>
                <c:pt idx="6">
                  <c:v>84</c:v>
                </c:pt>
                <c:pt idx="7">
                  <c:v>67</c:v>
                </c:pt>
                <c:pt idx="8">
                  <c:v>72</c:v>
                </c:pt>
                <c:pt idx="9">
                  <c:v>60</c:v>
                </c:pt>
                <c:pt idx="10">
                  <c:v>80</c:v>
                </c:pt>
                <c:pt idx="11">
                  <c:v>67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_xlchart.v1.8</cx:f>
      </cx:numDim>
    </cx:data>
    <cx:data id="1">
      <cx:strDim type="cat">
        <cx:f>_xlchart.v1.5</cx:f>
      </cx:strDim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_xlchart.v1.7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_xlchart.v1.10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42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1FDC-75BD-459C-A4D3-DAFC29A0477A}">
  <dimension ref="A1:I18"/>
  <sheetViews>
    <sheetView workbookViewId="0">
      <selection activeCell="F24" sqref="F24"/>
    </sheetView>
  </sheetViews>
  <sheetFormatPr defaultRowHeight="15" x14ac:dyDescent="0.25"/>
  <sheetData>
    <row r="1" spans="1:9" x14ac:dyDescent="0.25">
      <c r="A1" t="s">
        <v>24</v>
      </c>
    </row>
    <row r="2" spans="1:9" ht="15.7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0.19953789163167313</v>
      </c>
    </row>
    <row r="5" spans="1:9" x14ac:dyDescent="0.25">
      <c r="A5" s="2" t="s">
        <v>27</v>
      </c>
      <c r="B5" s="2">
        <v>3.9815370196813332E-2</v>
      </c>
    </row>
    <row r="6" spans="1:9" x14ac:dyDescent="0.25">
      <c r="A6" s="2" t="s">
        <v>28</v>
      </c>
      <c r="B6" s="2">
        <v>-4.7474141603476364E-2</v>
      </c>
    </row>
    <row r="7" spans="1:9" x14ac:dyDescent="0.25">
      <c r="A7" s="2" t="s">
        <v>29</v>
      </c>
      <c r="B7" s="2">
        <v>12.50261460258719</v>
      </c>
    </row>
    <row r="8" spans="1:9" ht="15.75" thickBot="1" x14ac:dyDescent="0.3">
      <c r="A8" s="3" t="s">
        <v>30</v>
      </c>
      <c r="B8" s="3">
        <v>13</v>
      </c>
    </row>
    <row r="10" spans="1:9" ht="15.7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8</v>
      </c>
      <c r="F11" s="4" t="s">
        <v>39</v>
      </c>
    </row>
    <row r="12" spans="1:9" x14ac:dyDescent="0.25">
      <c r="A12" s="2" t="s">
        <v>32</v>
      </c>
      <c r="B12" s="2">
        <v>1</v>
      </c>
      <c r="C12" s="2">
        <v>71.300139860139552</v>
      </c>
      <c r="D12" s="2">
        <v>71.300139860139552</v>
      </c>
      <c r="E12" s="2">
        <v>0.45613005933527506</v>
      </c>
      <c r="F12" s="2">
        <v>0.51338504813766694</v>
      </c>
    </row>
    <row r="13" spans="1:9" x14ac:dyDescent="0.25">
      <c r="A13" s="2" t="s">
        <v>33</v>
      </c>
      <c r="B13" s="2">
        <v>11</v>
      </c>
      <c r="C13" s="2">
        <v>1719.4690909090909</v>
      </c>
      <c r="D13" s="2">
        <v>156.31537190082645</v>
      </c>
      <c r="E13" s="2"/>
      <c r="F13" s="2"/>
    </row>
    <row r="14" spans="1:9" ht="15.75" thickBot="1" x14ac:dyDescent="0.3">
      <c r="A14" s="3" t="s">
        <v>34</v>
      </c>
      <c r="B14" s="3">
        <v>12</v>
      </c>
      <c r="C14" s="3">
        <v>1790.7692307692305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40</v>
      </c>
      <c r="C16" s="4" t="s">
        <v>29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35</v>
      </c>
      <c r="B17" s="2">
        <v>78.585454545454553</v>
      </c>
      <c r="C17" s="2">
        <v>8.0321614233017904</v>
      </c>
      <c r="D17" s="2">
        <v>9.7838490045124527</v>
      </c>
      <c r="E17" s="2">
        <v>9.1931124952525145E-7</v>
      </c>
      <c r="F17" s="2">
        <v>60.906786449306779</v>
      </c>
      <c r="G17" s="2">
        <v>96.264122641602327</v>
      </c>
      <c r="H17" s="2">
        <v>60.906786449306779</v>
      </c>
      <c r="I17" s="2">
        <v>96.264122641602327</v>
      </c>
    </row>
    <row r="18" spans="1:9" ht="15.75" thickBot="1" x14ac:dyDescent="0.3">
      <c r="A18" s="3" t="s">
        <v>47</v>
      </c>
      <c r="B18" s="3">
        <v>-1.2981818181818183</v>
      </c>
      <c r="C18" s="3">
        <v>1.9221672591638199</v>
      </c>
      <c r="D18" s="3">
        <v>-0.67537401440629707</v>
      </c>
      <c r="E18" s="3">
        <v>0.51338504813766583</v>
      </c>
      <c r="F18" s="3">
        <v>-5.5288434308154049</v>
      </c>
      <c r="G18" s="3">
        <v>2.9324797944517678</v>
      </c>
      <c r="H18" s="3">
        <v>-5.5288434308154049</v>
      </c>
      <c r="I18" s="3">
        <v>2.9324797944517678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3F6B-A6DB-4B3D-A1DE-FFEE18202050}">
  <dimension ref="A1:B15"/>
  <sheetViews>
    <sheetView workbookViewId="0">
      <selection activeCell="E14" sqref="E14"/>
    </sheetView>
  </sheetViews>
  <sheetFormatPr defaultRowHeight="15" x14ac:dyDescent="0.25"/>
  <sheetData>
    <row r="1" spans="1:2" x14ac:dyDescent="0.25">
      <c r="A1" s="5" t="s">
        <v>48</v>
      </c>
      <c r="B1" s="5"/>
    </row>
    <row r="2" spans="1:2" x14ac:dyDescent="0.25">
      <c r="A2" s="2"/>
      <c r="B2" s="2"/>
    </row>
    <row r="3" spans="1:2" x14ac:dyDescent="0.25">
      <c r="A3" s="2" t="s">
        <v>17</v>
      </c>
      <c r="B3" s="2">
        <v>73.692307692307693</v>
      </c>
    </row>
    <row r="4" spans="1:2" x14ac:dyDescent="0.25">
      <c r="A4" s="2" t="s">
        <v>29</v>
      </c>
      <c r="B4" s="2">
        <v>3.3881100839300404</v>
      </c>
    </row>
    <row r="5" spans="1:2" x14ac:dyDescent="0.25">
      <c r="A5" s="2" t="s">
        <v>18</v>
      </c>
      <c r="B5" s="2">
        <v>75</v>
      </c>
    </row>
    <row r="6" spans="1:2" x14ac:dyDescent="0.25">
      <c r="A6" s="2" t="s">
        <v>19</v>
      </c>
      <c r="B6" s="2">
        <v>80</v>
      </c>
    </row>
    <row r="7" spans="1:2" x14ac:dyDescent="0.25">
      <c r="A7" s="2" t="s">
        <v>49</v>
      </c>
      <c r="B7" s="2">
        <v>12.21600463452636</v>
      </c>
    </row>
    <row r="8" spans="1:2" x14ac:dyDescent="0.25">
      <c r="A8" s="2" t="s">
        <v>50</v>
      </c>
      <c r="B8" s="2">
        <v>149.23076923076951</v>
      </c>
    </row>
    <row r="9" spans="1:2" x14ac:dyDescent="0.25">
      <c r="A9" s="2" t="s">
        <v>51</v>
      </c>
      <c r="B9" s="2">
        <v>1.2113939699900489</v>
      </c>
    </row>
    <row r="10" spans="1:2" x14ac:dyDescent="0.25">
      <c r="A10" s="2" t="s">
        <v>52</v>
      </c>
      <c r="B10" s="2">
        <v>-0.99773662225465576</v>
      </c>
    </row>
    <row r="11" spans="1:2" x14ac:dyDescent="0.25">
      <c r="A11" s="2" t="s">
        <v>20</v>
      </c>
      <c r="B11" s="2">
        <v>45</v>
      </c>
    </row>
    <row r="12" spans="1:2" x14ac:dyDescent="0.25">
      <c r="A12" s="2" t="s">
        <v>53</v>
      </c>
      <c r="B12" s="2">
        <v>45</v>
      </c>
    </row>
    <row r="13" spans="1:2" x14ac:dyDescent="0.25">
      <c r="A13" s="2" t="s">
        <v>54</v>
      </c>
      <c r="B13" s="2">
        <v>90</v>
      </c>
    </row>
    <row r="14" spans="1:2" x14ac:dyDescent="0.25">
      <c r="A14" s="2" t="s">
        <v>55</v>
      </c>
      <c r="B14" s="2">
        <v>958</v>
      </c>
    </row>
    <row r="15" spans="1:2" ht="15.75" thickBot="1" x14ac:dyDescent="0.3">
      <c r="A15" s="3" t="s">
        <v>56</v>
      </c>
      <c r="B15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tabSelected="1" workbookViewId="0">
      <selection activeCell="Q16" sqref="Q16"/>
    </sheetView>
  </sheetViews>
  <sheetFormatPr defaultRowHeight="15" x14ac:dyDescent="0.25"/>
  <cols>
    <col min="1" max="1" width="22.28515625" customWidth="1"/>
    <col min="2" max="2" width="11.42578125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90</v>
      </c>
      <c r="C2">
        <v>2</v>
      </c>
    </row>
    <row r="3" spans="1:3" x14ac:dyDescent="0.25">
      <c r="A3" t="s">
        <v>4</v>
      </c>
      <c r="B3">
        <v>80</v>
      </c>
      <c r="C3">
        <v>3</v>
      </c>
    </row>
    <row r="4" spans="1:3" x14ac:dyDescent="0.25">
      <c r="A4" t="s">
        <v>5</v>
      </c>
      <c r="B4">
        <v>86</v>
      </c>
      <c r="C4">
        <v>4</v>
      </c>
    </row>
    <row r="5" spans="1:3" x14ac:dyDescent="0.25">
      <c r="A5" t="s">
        <v>6</v>
      </c>
      <c r="B5">
        <v>45</v>
      </c>
      <c r="C5">
        <v>3</v>
      </c>
    </row>
    <row r="6" spans="1:3" x14ac:dyDescent="0.25">
      <c r="A6" t="s">
        <v>7</v>
      </c>
      <c r="B6">
        <v>70</v>
      </c>
      <c r="C6">
        <v>6</v>
      </c>
    </row>
    <row r="7" spans="1:3" x14ac:dyDescent="0.25">
      <c r="A7" t="s">
        <v>8</v>
      </c>
      <c r="B7">
        <v>75</v>
      </c>
      <c r="C7">
        <v>3</v>
      </c>
    </row>
    <row r="8" spans="1:3" x14ac:dyDescent="0.25">
      <c r="A8" t="s">
        <v>9</v>
      </c>
      <c r="B8">
        <v>84</v>
      </c>
      <c r="C8">
        <v>2</v>
      </c>
    </row>
    <row r="9" spans="1:3" x14ac:dyDescent="0.25">
      <c r="A9" t="s">
        <v>10</v>
      </c>
      <c r="B9">
        <v>67</v>
      </c>
      <c r="C9">
        <v>1</v>
      </c>
    </row>
    <row r="10" spans="1:3" x14ac:dyDescent="0.25">
      <c r="A10" t="s">
        <v>11</v>
      </c>
      <c r="B10">
        <v>72</v>
      </c>
      <c r="C10">
        <v>8</v>
      </c>
    </row>
    <row r="11" spans="1:3" x14ac:dyDescent="0.25">
      <c r="A11" t="s">
        <v>12</v>
      </c>
      <c r="B11">
        <v>60</v>
      </c>
      <c r="C11">
        <v>5</v>
      </c>
    </row>
    <row r="12" spans="1:3" x14ac:dyDescent="0.25">
      <c r="A12" t="s">
        <v>13</v>
      </c>
      <c r="B12">
        <v>80</v>
      </c>
      <c r="C12">
        <v>4</v>
      </c>
    </row>
    <row r="13" spans="1:3" x14ac:dyDescent="0.25">
      <c r="A13" t="s">
        <v>14</v>
      </c>
      <c r="B13">
        <v>67</v>
      </c>
      <c r="C13">
        <v>5</v>
      </c>
    </row>
    <row r="14" spans="1:3" x14ac:dyDescent="0.25">
      <c r="A14" t="s">
        <v>15</v>
      </c>
      <c r="B14">
        <v>82</v>
      </c>
      <c r="C14">
        <v>3</v>
      </c>
    </row>
    <row r="15" spans="1:3" x14ac:dyDescent="0.25">
      <c r="A15" s="1" t="s">
        <v>16</v>
      </c>
      <c r="B15">
        <f>SUM(B2:B14)</f>
        <v>958</v>
      </c>
    </row>
    <row r="16" spans="1:3" x14ac:dyDescent="0.25">
      <c r="A16" s="1" t="s">
        <v>17</v>
      </c>
      <c r="B16">
        <f>AVERAGE(B2:B14)</f>
        <v>73.692307692307693</v>
      </c>
    </row>
    <row r="17" spans="1:2" x14ac:dyDescent="0.25">
      <c r="A17" s="1" t="s">
        <v>18</v>
      </c>
      <c r="B17">
        <f>MEDIAN(B2:B14)</f>
        <v>75</v>
      </c>
    </row>
    <row r="18" spans="1:2" x14ac:dyDescent="0.25">
      <c r="A18" s="1" t="s">
        <v>19</v>
      </c>
      <c r="B18">
        <f>MODE(B2:B14)</f>
        <v>80</v>
      </c>
    </row>
    <row r="19" spans="1:2" x14ac:dyDescent="0.25">
      <c r="A19" s="1" t="s">
        <v>20</v>
      </c>
      <c r="B19">
        <f>MAX(B3:B14)-MIN(B3:B14)</f>
        <v>41</v>
      </c>
    </row>
    <row r="20" spans="1:2" x14ac:dyDescent="0.25">
      <c r="A20" s="1" t="s">
        <v>21</v>
      </c>
      <c r="B20">
        <f>_xlfn.VAR.S(B2:B14)</f>
        <v>149.23076923076951</v>
      </c>
    </row>
    <row r="21" spans="1:2" x14ac:dyDescent="0.25">
      <c r="A21" s="1" t="s">
        <v>22</v>
      </c>
      <c r="B21">
        <f>_xlfn.STDEV.S(B2:B14)</f>
        <v>12.21600463452636</v>
      </c>
    </row>
    <row r="22" spans="1:2" x14ac:dyDescent="0.25">
      <c r="A22" s="1" t="s">
        <v>23</v>
      </c>
      <c r="B22">
        <f>CORREL(B2:B14,C2:C14)</f>
        <v>-0.19953789163167357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2026-05-26T08:31:23Z</dcterms:created>
  <dcterms:modified xsi:type="dcterms:W3CDTF">2026-05-26T10:18:34Z</dcterms:modified>
</cp:coreProperties>
</file>