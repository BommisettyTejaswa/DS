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E5008CB9-C460-4D60-AA7A-FC344B6F0A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H5" i="1"/>
  <c r="H4" i="1"/>
  <c r="H3" i="1"/>
  <c r="D4" i="1"/>
  <c r="D18" i="1"/>
  <c r="D15" i="1"/>
  <c r="D5" i="1"/>
  <c r="D12" i="1"/>
  <c r="D21" i="1"/>
  <c r="D8" i="1"/>
  <c r="D13" i="1"/>
  <c r="D2" i="1"/>
  <c r="D9" i="1"/>
  <c r="D3" i="1"/>
  <c r="D16" i="1"/>
  <c r="D20" i="1"/>
  <c r="D14" i="1"/>
  <c r="D7" i="1"/>
  <c r="D11" i="1"/>
  <c r="D19" i="1"/>
  <c r="D6" i="1"/>
  <c r="D10" i="1"/>
  <c r="D17" i="1"/>
</calcChain>
</file>

<file path=xl/sharedStrings.xml><?xml version="1.0" encoding="utf-8"?>
<sst xmlns="http://schemas.openxmlformats.org/spreadsheetml/2006/main" count="51" uniqueCount="30">
  <si>
    <t>Name</t>
  </si>
  <si>
    <t>Rand</t>
  </si>
  <si>
    <t>Roll</t>
  </si>
  <si>
    <t>Status</t>
  </si>
  <si>
    <t>dept</t>
  </si>
  <si>
    <t>P</t>
  </si>
  <si>
    <t>Arts</t>
  </si>
  <si>
    <t>L</t>
  </si>
  <si>
    <t>Q</t>
  </si>
  <si>
    <t>Commerce</t>
  </si>
  <si>
    <t>D</t>
  </si>
  <si>
    <t>Science</t>
  </si>
  <si>
    <t>O</t>
  </si>
  <si>
    <t>M</t>
  </si>
  <si>
    <t>G</t>
  </si>
  <si>
    <t>N</t>
  </si>
  <si>
    <t>E</t>
  </si>
  <si>
    <t>A</t>
  </si>
  <si>
    <t>T</t>
  </si>
  <si>
    <t>I</t>
  </si>
  <si>
    <t>H</t>
  </si>
  <si>
    <t>F</t>
  </si>
  <si>
    <t>R</t>
  </si>
  <si>
    <t>S</t>
  </si>
  <si>
    <t>K</t>
  </si>
  <si>
    <t>J</t>
  </si>
  <si>
    <t>B</t>
  </si>
  <si>
    <t>C</t>
  </si>
  <si>
    <t>Random Sampling</t>
  </si>
  <si>
    <t>Systematic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</si>
</sst>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K9" sqref="K9"/>
    </sheetView>
  </sheetViews>
  <sheetFormatPr defaultRowHeight="15"/>
  <cols>
    <col min="2" max="2" width="18.28515625" customWidth="1"/>
    <col min="4" max="4" width="19.85546875" customWidth="1"/>
    <col min="5" max="5" width="19" customWidth="1"/>
    <col min="7" max="7" width="10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</row>
    <row r="2" spans="1:9">
      <c r="A2" t="s">
        <v>5</v>
      </c>
      <c r="B2">
        <v>0.46867408571479108</v>
      </c>
      <c r="C2">
        <v>9</v>
      </c>
      <c r="D2" t="str">
        <f>IF(MOD(C2,4)=0,"Selected","")</f>
        <v/>
      </c>
      <c r="E2" t="s">
        <v>6</v>
      </c>
      <c r="F2">
        <v>8.2455878347248879E-2</v>
      </c>
    </row>
    <row r="3" spans="1:9">
      <c r="A3" t="s">
        <v>7</v>
      </c>
      <c r="B3">
        <v>0.54769113379083678</v>
      </c>
      <c r="C3">
        <v>11</v>
      </c>
      <c r="D3" t="str">
        <f>IF(MOD(C3,4)=0,"Selected","")</f>
        <v/>
      </c>
      <c r="E3" t="s">
        <v>6</v>
      </c>
      <c r="F3">
        <v>0.16577214094056814</v>
      </c>
      <c r="G3" t="s">
        <v>6</v>
      </c>
      <c r="H3">
        <f>COUNTIF(E2:E21,E3)</f>
        <v>7</v>
      </c>
      <c r="I3">
        <f>P15</f>
        <v>0</v>
      </c>
    </row>
    <row r="4" spans="1:9">
      <c r="A4" t="s">
        <v>8</v>
      </c>
      <c r="B4">
        <v>5.31225893734244E-3</v>
      </c>
      <c r="C4">
        <v>1</v>
      </c>
      <c r="D4" t="str">
        <f>IF(MOD(C4,4)=0,"Selected","")</f>
        <v/>
      </c>
      <c r="E4" t="s">
        <v>6</v>
      </c>
      <c r="F4">
        <v>0.17768468338259558</v>
      </c>
      <c r="G4" t="s">
        <v>9</v>
      </c>
      <c r="H4">
        <f>COUNTIF(E2:E21,E9)</f>
        <v>8</v>
      </c>
    </row>
    <row r="5" spans="1:9">
      <c r="A5" t="s">
        <v>10</v>
      </c>
      <c r="B5">
        <v>0.15085124061917843</v>
      </c>
      <c r="C5">
        <v>4</v>
      </c>
      <c r="D5" t="str">
        <f>IF(MOD(C5,4)=0,"Selected","")</f>
        <v>Selected</v>
      </c>
      <c r="E5" t="s">
        <v>6</v>
      </c>
      <c r="F5">
        <v>0.25105948971025527</v>
      </c>
      <c r="G5" s="1" t="s">
        <v>11</v>
      </c>
      <c r="H5">
        <f>COUNTIF(E2:E21,E18)</f>
        <v>5</v>
      </c>
    </row>
    <row r="6" spans="1:9">
      <c r="A6" t="s">
        <v>12</v>
      </c>
      <c r="B6">
        <v>0.8196886395972437</v>
      </c>
      <c r="C6">
        <v>18</v>
      </c>
      <c r="D6" t="str">
        <f>IF(MOD(C6,4)=0,"Selected","")</f>
        <v/>
      </c>
      <c r="E6" t="s">
        <v>6</v>
      </c>
      <c r="F6">
        <v>0.27011341983258208</v>
      </c>
    </row>
    <row r="7" spans="1:9">
      <c r="A7" t="s">
        <v>13</v>
      </c>
      <c r="B7">
        <v>0.71598470344161191</v>
      </c>
      <c r="C7">
        <v>15</v>
      </c>
      <c r="D7" t="str">
        <f>IF(MOD(C7,4)=0,"Selected","")</f>
        <v/>
      </c>
      <c r="E7" t="s">
        <v>6</v>
      </c>
      <c r="F7">
        <v>0.29487411376521522</v>
      </c>
    </row>
    <row r="8" spans="1:9">
      <c r="A8" t="s">
        <v>14</v>
      </c>
      <c r="B8">
        <v>0.21519107572434759</v>
      </c>
      <c r="C8">
        <v>7</v>
      </c>
      <c r="D8" t="str">
        <f>IF(MOD(C8,4)=0,"Selected","")</f>
        <v/>
      </c>
      <c r="E8" t="s">
        <v>6</v>
      </c>
      <c r="F8">
        <v>0.29868210945190732</v>
      </c>
    </row>
    <row r="9" spans="1:9">
      <c r="A9" t="s">
        <v>15</v>
      </c>
      <c r="B9">
        <v>0.5194781106677977</v>
      </c>
      <c r="C9">
        <v>10</v>
      </c>
      <c r="D9" t="str">
        <f>IF(MOD(C9,4)=0,"Selected","")</f>
        <v/>
      </c>
      <c r="E9" t="s">
        <v>9</v>
      </c>
      <c r="F9">
        <v>0.31451511233884721</v>
      </c>
    </row>
    <row r="10" spans="1:9">
      <c r="A10" t="s">
        <v>16</v>
      </c>
      <c r="B10">
        <v>0.96677984094705771</v>
      </c>
      <c r="C10">
        <v>19</v>
      </c>
      <c r="D10" t="str">
        <f>IF(MOD(C10,4)=0,"Selected","")</f>
        <v/>
      </c>
      <c r="E10" t="s">
        <v>9</v>
      </c>
      <c r="F10">
        <v>0.38324615916857363</v>
      </c>
    </row>
    <row r="11" spans="1:9">
      <c r="A11" t="s">
        <v>17</v>
      </c>
      <c r="B11">
        <v>0.73222711360588866</v>
      </c>
      <c r="C11">
        <v>16</v>
      </c>
      <c r="D11" t="str">
        <f>IF(MOD(C11,4)=0,"Selected","")</f>
        <v>Selected</v>
      </c>
      <c r="E11" t="s">
        <v>9</v>
      </c>
      <c r="F11">
        <v>0.4331516431436514</v>
      </c>
    </row>
    <row r="12" spans="1:9">
      <c r="A12" t="s">
        <v>18</v>
      </c>
      <c r="B12">
        <v>0.17232483057052828</v>
      </c>
      <c r="C12">
        <v>5</v>
      </c>
      <c r="D12" t="str">
        <f>IF(MOD(C12,4)=0,"Selected","")</f>
        <v/>
      </c>
      <c r="E12" t="s">
        <v>9</v>
      </c>
      <c r="F12">
        <v>0.47511419015929179</v>
      </c>
    </row>
    <row r="13" spans="1:9">
      <c r="A13" t="s">
        <v>19</v>
      </c>
      <c r="B13">
        <v>0.32813338856705521</v>
      </c>
      <c r="C13">
        <v>8</v>
      </c>
      <c r="D13" t="str">
        <f>IF(MOD(C13,4)=0,"Selected","")</f>
        <v>Selected</v>
      </c>
      <c r="E13" t="s">
        <v>9</v>
      </c>
      <c r="F13">
        <v>0.49729847907342872</v>
      </c>
    </row>
    <row r="14" spans="1:9">
      <c r="A14" t="s">
        <v>20</v>
      </c>
      <c r="B14">
        <v>0.67900403591110114</v>
      </c>
      <c r="C14">
        <v>14</v>
      </c>
      <c r="D14" t="str">
        <f>IF(MOD(C14,4)=0,"Selected","")</f>
        <v/>
      </c>
      <c r="E14" t="s">
        <v>9</v>
      </c>
      <c r="F14">
        <v>0.65018797768544423</v>
      </c>
    </row>
    <row r="15" spans="1:9">
      <c r="A15" t="s">
        <v>21</v>
      </c>
      <c r="B15">
        <v>0.11900350653889399</v>
      </c>
      <c r="C15">
        <v>3</v>
      </c>
      <c r="D15" t="str">
        <f>IF(MOD(C15,4)=0,"Selected","")</f>
        <v/>
      </c>
      <c r="E15" t="s">
        <v>9</v>
      </c>
      <c r="F15">
        <v>0.67407814134846555</v>
      </c>
    </row>
    <row r="16" spans="1:9">
      <c r="A16" t="s">
        <v>22</v>
      </c>
      <c r="B16">
        <v>0.55994879049756974</v>
      </c>
      <c r="C16">
        <v>12</v>
      </c>
      <c r="D16" t="str">
        <f>IF(MOD(C16,4)=0,"Selected","")</f>
        <v>Selected</v>
      </c>
      <c r="E16" t="s">
        <v>9</v>
      </c>
      <c r="F16">
        <v>0.68004475789691843</v>
      </c>
    </row>
    <row r="17" spans="1:6">
      <c r="A17" t="s">
        <v>23</v>
      </c>
      <c r="B17">
        <v>0.97310358869765767</v>
      </c>
      <c r="C17">
        <v>20</v>
      </c>
      <c r="D17" t="str">
        <f>IF(MOD(C17,4)=0,"Selected","")</f>
        <v>Selected</v>
      </c>
      <c r="E17" s="1" t="s">
        <v>11</v>
      </c>
      <c r="F17">
        <v>0.70542393296020378</v>
      </c>
    </row>
    <row r="18" spans="1:6">
      <c r="A18" t="s">
        <v>24</v>
      </c>
      <c r="B18">
        <v>0.10575411765734799</v>
      </c>
      <c r="C18">
        <v>2</v>
      </c>
      <c r="D18" t="str">
        <f>IF(MOD(C18,4)=0,"Selected","")</f>
        <v/>
      </c>
      <c r="E18" t="s">
        <v>11</v>
      </c>
      <c r="F18">
        <v>0.83315532336135667</v>
      </c>
    </row>
    <row r="19" spans="1:6">
      <c r="A19" t="s">
        <v>25</v>
      </c>
      <c r="B19">
        <v>0.7512422994607757</v>
      </c>
      <c r="C19">
        <v>17</v>
      </c>
      <c r="D19" t="str">
        <f>IF(MOD(C19,4)=0,"Selected","")</f>
        <v/>
      </c>
      <c r="E19" s="1" t="s">
        <v>11</v>
      </c>
      <c r="F19">
        <v>0.89631278218705845</v>
      </c>
    </row>
    <row r="20" spans="1:6">
      <c r="A20" t="s">
        <v>26</v>
      </c>
      <c r="B20">
        <v>0.65770244386742616</v>
      </c>
      <c r="C20">
        <v>13</v>
      </c>
      <c r="D20" t="str">
        <f>IF(MOD(C20,4)=0,"Selected","")</f>
        <v/>
      </c>
      <c r="E20" s="1" t="s">
        <v>11</v>
      </c>
      <c r="F20">
        <v>0.91278739269554077</v>
      </c>
    </row>
    <row r="21" spans="1:6">
      <c r="A21" t="s">
        <v>27</v>
      </c>
      <c r="B21">
        <v>0.20779773427564696</v>
      </c>
      <c r="C21">
        <v>6</v>
      </c>
      <c r="D21" t="str">
        <f>IF(MOD(C21,4)=0,"Selected","")</f>
        <v/>
      </c>
      <c r="E21" s="1" t="s">
        <v>11</v>
      </c>
      <c r="F21">
        <v>0.93026467259405066</v>
      </c>
    </row>
    <row r="22" spans="1:6">
      <c r="B22" t="s">
        <v>28</v>
      </c>
      <c r="D22" t="s">
        <v>29</v>
      </c>
    </row>
    <row r="39" spans="5:5">
      <c r="E39" s="1"/>
    </row>
    <row r="41" spans="5:5">
      <c r="E41" s="1"/>
    </row>
    <row r="42" spans="5:5">
      <c r="E42" s="1"/>
    </row>
    <row r="43" spans="5:5">
      <c r="E43" s="1"/>
    </row>
    <row r="61" spans="5:5">
      <c r="E61" s="1"/>
    </row>
    <row r="63" spans="5:5">
      <c r="E63" s="1"/>
    </row>
    <row r="64" spans="5:5">
      <c r="E64" s="1"/>
    </row>
    <row r="65" spans="5:5">
      <c r="E65" s="1"/>
    </row>
    <row r="83" spans="5:5">
      <c r="E83" s="1"/>
    </row>
    <row r="85" spans="5:5">
      <c r="E85" s="1"/>
    </row>
    <row r="86" spans="5:5">
      <c r="E86" s="1"/>
    </row>
    <row r="87" spans="5:5">
      <c r="E87" s="1"/>
    </row>
  </sheetData>
  <sortState xmlns:xlrd2="http://schemas.microsoft.com/office/spreadsheetml/2017/richdata2" ref="F2:F21">
    <sortCondition ref="F2:F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2026-06-24T05:01:27Z</dcterms:created>
  <dcterms:modified xsi:type="dcterms:W3CDTF">2026-06-24T05:41:02Z</dcterms:modified>
  <cp:category/>
  <cp:contentStatus/>
</cp:coreProperties>
</file>