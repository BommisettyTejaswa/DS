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E8858533-4A47-4FD6-9CAE-1C53D35B64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" i="1" l="1"/>
  <c r="N10" i="1"/>
  <c r="N9" i="1"/>
  <c r="D40" i="1"/>
  <c r="F34" i="1"/>
  <c r="E34" i="1"/>
  <c r="C24" i="1"/>
  <c r="B24" i="1"/>
  <c r="I22" i="1"/>
  <c r="I21" i="1"/>
  <c r="I20" i="1"/>
  <c r="I19" i="1"/>
  <c r="D13" i="1"/>
  <c r="C16" i="1"/>
  <c r="B30" i="1" l="1"/>
  <c r="B29" i="1"/>
  <c r="B28" i="1"/>
  <c r="B27" i="1"/>
  <c r="B26" i="1"/>
  <c r="C30" i="1"/>
  <c r="C29" i="1"/>
  <c r="C28" i="1"/>
  <c r="C27" i="1"/>
  <c r="C26" i="1"/>
  <c r="D26" i="1" l="1"/>
  <c r="D27" i="1"/>
  <c r="D28" i="1"/>
  <c r="D29" i="1"/>
  <c r="D30" i="1"/>
  <c r="D33" i="1" l="1"/>
  <c r="F33" i="1" l="1"/>
  <c r="E33" i="1"/>
</calcChain>
</file>

<file path=xl/sharedStrings.xml><?xml version="1.0" encoding="utf-8"?>
<sst xmlns="http://schemas.openxmlformats.org/spreadsheetml/2006/main" count="67" uniqueCount="57">
  <si>
    <t>Cell</t>
  </si>
  <si>
    <t>Value</t>
  </si>
  <si>
    <t>Description</t>
  </si>
  <si>
    <t>Successes (x)</t>
  </si>
  <si>
    <t>Probability</t>
  </si>
  <si>
    <t>Student</t>
  </si>
  <si>
    <t>Marks</t>
  </si>
  <si>
    <t>B1</t>
  </si>
  <si>
    <t>Average number of calls (λ)</t>
  </si>
  <si>
    <t>Total Trials (n)</t>
  </si>
  <si>
    <t>A</t>
  </si>
  <si>
    <t>B2</t>
  </si>
  <si>
    <t>Number of Calls (x)</t>
  </si>
  <si>
    <t>Probability of Success (p)</t>
  </si>
  <si>
    <t>B</t>
  </si>
  <si>
    <t>B3</t>
  </si>
  <si>
    <t>A5</t>
  </si>
  <si>
    <t>C</t>
  </si>
  <si>
    <t>B4</t>
  </si>
  <si>
    <t>A6</t>
  </si>
  <si>
    <t>D</t>
  </si>
  <si>
    <t>B5</t>
  </si>
  <si>
    <t>A7</t>
  </si>
  <si>
    <t>Z-score</t>
  </si>
  <si>
    <t>E</t>
  </si>
  <si>
    <t>B6</t>
  </si>
  <si>
    <t>A8</t>
  </si>
  <si>
    <t>F</t>
  </si>
  <si>
    <t>B7</t>
  </si>
  <si>
    <t>A9</t>
  </si>
  <si>
    <t>B8</t>
  </si>
  <si>
    <t>A10</t>
  </si>
  <si>
    <t>Average</t>
  </si>
  <si>
    <t>B9</t>
  </si>
  <si>
    <t>A11</t>
  </si>
  <si>
    <t>Sigmaa(StandardDeviation)</t>
  </si>
  <si>
    <t>B10</t>
  </si>
  <si>
    <t>A12</t>
  </si>
  <si>
    <t>B11</t>
  </si>
  <si>
    <t>A13</t>
  </si>
  <si>
    <t>B12</t>
  </si>
  <si>
    <t>A14</t>
  </si>
  <si>
    <t>B13</t>
  </si>
  <si>
    <t>A15</t>
  </si>
  <si>
    <t>B14</t>
  </si>
  <si>
    <t>Poison Distribution</t>
  </si>
  <si>
    <t>A16</t>
  </si>
  <si>
    <t>X</t>
  </si>
  <si>
    <t>Y</t>
  </si>
  <si>
    <t>Binomial distribution</t>
  </si>
  <si>
    <t>X-avg(X)</t>
  </si>
  <si>
    <t>Y-avg(Y)</t>
  </si>
  <si>
    <t>X-avg(X)*Y-avg(Y)</t>
  </si>
  <si>
    <t>Sum of X-avg(X)*Y-avg(Y)</t>
  </si>
  <si>
    <t>Covariance with sample</t>
  </si>
  <si>
    <t>Covariance with population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</si>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</sst>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12A61-D3A7-463B-A1C3-D02E6684A6AE}" name="Table1" displayName="Table1" ref="B18:C23" totalsRowShown="0">
  <autoFilter ref="B18:C23" xr:uid="{C8212A61-D3A7-463B-A1C3-D02E6684A6AE}"/>
  <tableColumns count="2">
    <tableColumn id="1" xr3:uid="{5B505DFD-D0DF-4A13-849B-29039EDB6FE0}" name="X"/>
    <tableColumn id="2" xr3:uid="{5FAD94AE-48B7-4E79-9BDB-B708D4B9D637}" name="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9F2C75-9101-4217-B379-A8F82DF1E81A}" name="Table2" displayName="Table2" ref="B25:C31" totalsRowShown="0">
  <autoFilter ref="B25:C31" xr:uid="{019F2C75-9101-4217-B379-A8F82DF1E81A}"/>
  <tableColumns count="2">
    <tableColumn id="1" xr3:uid="{17799898-54B0-4CC0-953A-6F748CD43AC1}" name="X-avg(X)"/>
    <tableColumn id="2" xr3:uid="{6847B80C-F470-4ABD-A4E0-1EDC411F5AE8}" name="Y-avg(Y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I1" workbookViewId="0">
      <selection activeCell="O18" sqref="O18"/>
    </sheetView>
  </sheetViews>
  <sheetFormatPr defaultRowHeight="15"/>
  <cols>
    <col min="2" max="2" width="15.28515625" customWidth="1"/>
    <col min="3" max="3" width="26.42578125" customWidth="1"/>
    <col min="4" max="4" width="27.140625" customWidth="1"/>
    <col min="5" max="5" width="28.7109375" customWidth="1"/>
    <col min="6" max="6" width="27.5703125" customWidth="1"/>
    <col min="8" max="8" width="13" customWidth="1"/>
    <col min="9" max="9" width="19.42578125" customWidth="1"/>
    <col min="10" max="10" width="11.42578125" customWidth="1"/>
    <col min="11" max="11" width="22.7109375" customWidth="1"/>
    <col min="13" max="13" width="26.5703125" customWidth="1"/>
    <col min="14" max="14" width="14.28515625" customWidth="1"/>
  </cols>
  <sheetData>
    <row r="1" spans="1:15">
      <c r="A1" s="1" t="s">
        <v>0</v>
      </c>
      <c r="B1" s="1" t="s">
        <v>1</v>
      </c>
      <c r="C1" s="1" t="s">
        <v>2</v>
      </c>
      <c r="G1" s="1" t="s">
        <v>3</v>
      </c>
      <c r="H1" s="1" t="s">
        <v>4</v>
      </c>
      <c r="I1" s="1" t="s">
        <v>0</v>
      </c>
      <c r="J1" s="1" t="s">
        <v>1</v>
      </c>
      <c r="K1" s="1" t="s">
        <v>2</v>
      </c>
      <c r="N1" t="s">
        <v>5</v>
      </c>
      <c r="O1" t="s">
        <v>6</v>
      </c>
    </row>
    <row r="2" spans="1:15">
      <c r="A2" t="s">
        <v>7</v>
      </c>
      <c r="B2">
        <v>4</v>
      </c>
      <c r="C2" t="s">
        <v>8</v>
      </c>
      <c r="G2">
        <v>0</v>
      </c>
      <c r="H2">
        <v>2.8247999999999999E-2</v>
      </c>
      <c r="I2" t="s">
        <v>7</v>
      </c>
      <c r="J2">
        <v>10</v>
      </c>
      <c r="K2" t="s">
        <v>9</v>
      </c>
      <c r="N2" t="s">
        <v>10</v>
      </c>
      <c r="O2">
        <v>67</v>
      </c>
    </row>
    <row r="3" spans="1:15">
      <c r="A3" t="s">
        <v>11</v>
      </c>
      <c r="B3" t="s">
        <v>12</v>
      </c>
      <c r="C3" t="s">
        <v>4</v>
      </c>
      <c r="G3">
        <v>1</v>
      </c>
      <c r="H3">
        <v>0.121061</v>
      </c>
      <c r="I3" t="s">
        <v>11</v>
      </c>
      <c r="J3">
        <v>0.3</v>
      </c>
      <c r="K3" t="s">
        <v>13</v>
      </c>
      <c r="N3" t="s">
        <v>14</v>
      </c>
      <c r="O3">
        <v>76</v>
      </c>
    </row>
    <row r="4" spans="1:15">
      <c r="A4" t="s">
        <v>15</v>
      </c>
      <c r="B4">
        <v>0</v>
      </c>
      <c r="G4">
        <v>2</v>
      </c>
      <c r="H4">
        <v>0.23347399999999999</v>
      </c>
      <c r="I4" t="s">
        <v>16</v>
      </c>
      <c r="J4" t="s">
        <v>3</v>
      </c>
      <c r="K4" t="s">
        <v>4</v>
      </c>
      <c r="N4" t="s">
        <v>17</v>
      </c>
      <c r="O4">
        <v>54</v>
      </c>
    </row>
    <row r="5" spans="1:15">
      <c r="A5" t="s">
        <v>18</v>
      </c>
      <c r="B5">
        <v>1</v>
      </c>
      <c r="G5">
        <v>3</v>
      </c>
      <c r="H5">
        <v>0.26682800000000001</v>
      </c>
      <c r="I5" t="s">
        <v>19</v>
      </c>
      <c r="J5">
        <v>0</v>
      </c>
      <c r="N5" t="s">
        <v>20</v>
      </c>
      <c r="O5">
        <v>78</v>
      </c>
    </row>
    <row r="6" spans="1:15">
      <c r="A6" t="s">
        <v>21</v>
      </c>
      <c r="B6">
        <v>2</v>
      </c>
      <c r="G6">
        <v>4</v>
      </c>
      <c r="H6">
        <v>0.20012099999999999</v>
      </c>
      <c r="I6" t="s">
        <v>22</v>
      </c>
      <c r="J6">
        <v>1</v>
      </c>
      <c r="M6" t="s">
        <v>23</v>
      </c>
      <c r="N6" t="s">
        <v>24</v>
      </c>
      <c r="O6">
        <v>98</v>
      </c>
    </row>
    <row r="7" spans="1:15">
      <c r="A7" t="s">
        <v>25</v>
      </c>
      <c r="B7">
        <v>3</v>
      </c>
      <c r="G7">
        <v>5</v>
      </c>
      <c r="H7">
        <v>0.102919</v>
      </c>
      <c r="I7" t="s">
        <v>26</v>
      </c>
      <c r="J7">
        <v>2</v>
      </c>
      <c r="N7" t="s">
        <v>27</v>
      </c>
      <c r="O7">
        <v>56</v>
      </c>
    </row>
    <row r="8" spans="1:15">
      <c r="A8" t="s">
        <v>28</v>
      </c>
      <c r="B8">
        <v>4</v>
      </c>
      <c r="G8">
        <v>6</v>
      </c>
      <c r="H8">
        <v>3.6756999999999998E-2</v>
      </c>
      <c r="I8" t="s">
        <v>29</v>
      </c>
      <c r="J8">
        <v>3</v>
      </c>
    </row>
    <row r="9" spans="1:15">
      <c r="A9" t="s">
        <v>30</v>
      </c>
      <c r="B9">
        <v>5</v>
      </c>
      <c r="G9">
        <v>7</v>
      </c>
      <c r="H9">
        <v>9.0019999999999996E-3</v>
      </c>
      <c r="I9" t="s">
        <v>31</v>
      </c>
      <c r="J9">
        <v>4</v>
      </c>
      <c r="M9" t="s">
        <v>32</v>
      </c>
      <c r="N9">
        <f>AVERAGE(O2:O7)</f>
        <v>71.5</v>
      </c>
    </row>
    <row r="10" spans="1:15">
      <c r="A10" t="s">
        <v>33</v>
      </c>
      <c r="B10">
        <v>6</v>
      </c>
      <c r="G10">
        <v>8</v>
      </c>
      <c r="H10">
        <v>1.4469999999999999E-3</v>
      </c>
      <c r="I10" t="s">
        <v>34</v>
      </c>
      <c r="J10">
        <v>5</v>
      </c>
      <c r="M10" t="s">
        <v>35</v>
      </c>
      <c r="N10">
        <f>STDEV(O2:O7)</f>
        <v>16.318700928689147</v>
      </c>
    </row>
    <row r="11" spans="1:15">
      <c r="A11" t="s">
        <v>36</v>
      </c>
      <c r="B11">
        <v>7</v>
      </c>
      <c r="G11">
        <v>9</v>
      </c>
      <c r="H11">
        <v>1.3799999999999999E-4</v>
      </c>
      <c r="I11" t="s">
        <v>37</v>
      </c>
      <c r="J11">
        <v>6</v>
      </c>
      <c r="M11" t="s">
        <v>23</v>
      </c>
      <c r="N11">
        <f>(O3-N9)/N10</f>
        <v>0.27575724438265548</v>
      </c>
    </row>
    <row r="12" spans="1:15">
      <c r="A12" t="s">
        <v>38</v>
      </c>
      <c r="B12">
        <v>8</v>
      </c>
      <c r="G12">
        <v>10</v>
      </c>
      <c r="H12">
        <v>6.0000000000000002E-6</v>
      </c>
      <c r="I12" t="s">
        <v>39</v>
      </c>
      <c r="J12">
        <v>7</v>
      </c>
    </row>
    <row r="13" spans="1:15">
      <c r="A13" t="s">
        <v>40</v>
      </c>
      <c r="B13">
        <v>9</v>
      </c>
      <c r="D13">
        <f>AVERAGE(B2:B15)</f>
        <v>5.3076923076923075</v>
      </c>
      <c r="I13" t="s">
        <v>41</v>
      </c>
      <c r="J13">
        <v>8</v>
      </c>
    </row>
    <row r="14" spans="1:15">
      <c r="A14" t="s">
        <v>42</v>
      </c>
      <c r="B14">
        <v>10</v>
      </c>
      <c r="I14" t="s">
        <v>43</v>
      </c>
      <c r="J14">
        <v>9</v>
      </c>
    </row>
    <row r="15" spans="1:15">
      <c r="A15" t="s">
        <v>44</v>
      </c>
      <c r="B15">
        <v>10</v>
      </c>
      <c r="C15" s="1" t="s">
        <v>45</v>
      </c>
      <c r="I15" t="s">
        <v>46</v>
      </c>
      <c r="J15">
        <v>10</v>
      </c>
    </row>
    <row r="16" spans="1:15">
      <c r="C16">
        <f>_xlfn.POISSON.DIST(4,4,TRUE)</f>
        <v>0.62883693517987349</v>
      </c>
    </row>
    <row r="18" spans="1:9">
      <c r="B18" t="s">
        <v>47</v>
      </c>
      <c r="C18" t="s">
        <v>48</v>
      </c>
      <c r="I18" s="1" t="s">
        <v>49</v>
      </c>
    </row>
    <row r="19" spans="1:9">
      <c r="B19">
        <v>2</v>
      </c>
      <c r="C19">
        <v>4</v>
      </c>
      <c r="I19">
        <f>BINOMDIST(G7,J15,H7,FALSE)</f>
        <v>1.6905834854460881E-3</v>
      </c>
    </row>
    <row r="20" spans="1:9">
      <c r="B20">
        <v>3</v>
      </c>
      <c r="C20">
        <v>4.5</v>
      </c>
      <c r="I20">
        <f>BINOMDIST(G7,J15,H7,TRUE)</f>
        <v>0.9998273073015298</v>
      </c>
    </row>
    <row r="21" spans="1:9">
      <c r="B21">
        <v>6</v>
      </c>
      <c r="C21">
        <v>6</v>
      </c>
      <c r="I21">
        <f>BINOMDIST(G7,J15,H7,FALSE)</f>
        <v>1.6905834854460881E-3</v>
      </c>
    </row>
    <row r="22" spans="1:9">
      <c r="B22">
        <v>0</v>
      </c>
      <c r="C22">
        <v>3</v>
      </c>
      <c r="I22">
        <f>BINOMDIST(G7,J15,H7,TRUE)</f>
        <v>0.9998273073015298</v>
      </c>
    </row>
    <row r="23" spans="1:9">
      <c r="B23">
        <v>1</v>
      </c>
      <c r="C23">
        <v>2</v>
      </c>
    </row>
    <row r="24" spans="1:9">
      <c r="A24" s="2" t="s">
        <v>32</v>
      </c>
      <c r="B24">
        <f>AVERAGE(B19:B23)</f>
        <v>2.4</v>
      </c>
      <c r="C24">
        <f>AVERAGE(C19:C23)</f>
        <v>3.9</v>
      </c>
    </row>
    <row r="25" spans="1:9">
      <c r="B25" t="s">
        <v>50</v>
      </c>
      <c r="C25" t="s">
        <v>51</v>
      </c>
      <c r="D25" s="3" t="s">
        <v>52</v>
      </c>
    </row>
    <row r="26" spans="1:9">
      <c r="B26">
        <f>B19-B24</f>
        <v>-0.39999999999999991</v>
      </c>
      <c r="C26">
        <f>C19-C24</f>
        <v>0.10000000000000009</v>
      </c>
      <c r="D26">
        <f>B26*C26</f>
        <v>-4.0000000000000029E-2</v>
      </c>
    </row>
    <row r="27" spans="1:9">
      <c r="B27">
        <f>B20-B24</f>
        <v>0.60000000000000009</v>
      </c>
      <c r="C27">
        <f>C20-C24</f>
        <v>0.60000000000000009</v>
      </c>
      <c r="D27">
        <f t="shared" ref="D27:D30" si="0">B27*C27</f>
        <v>0.3600000000000001</v>
      </c>
    </row>
    <row r="28" spans="1:9">
      <c r="B28">
        <f>B21-B24</f>
        <v>3.6</v>
      </c>
      <c r="C28">
        <f>C21-C24</f>
        <v>2.1</v>
      </c>
      <c r="D28">
        <f t="shared" si="0"/>
        <v>7.5600000000000005</v>
      </c>
    </row>
    <row r="29" spans="1:9">
      <c r="B29">
        <f>B22-B24</f>
        <v>-2.4</v>
      </c>
      <c r="C29">
        <f>C22-C24</f>
        <v>-0.89999999999999991</v>
      </c>
      <c r="D29">
        <f t="shared" si="0"/>
        <v>2.1599999999999997</v>
      </c>
    </row>
    <row r="30" spans="1:9">
      <c r="B30">
        <f>B23-B24</f>
        <v>-1.4</v>
      </c>
      <c r="C30">
        <f>C23-C24</f>
        <v>-1.9</v>
      </c>
      <c r="D30">
        <f t="shared" si="0"/>
        <v>2.6599999999999997</v>
      </c>
    </row>
    <row r="32" spans="1:9">
      <c r="D32" s="2" t="s">
        <v>53</v>
      </c>
      <c r="E32" s="2" t="s">
        <v>54</v>
      </c>
      <c r="F32" s="4" t="s">
        <v>55</v>
      </c>
    </row>
    <row r="33" spans="4:6">
      <c r="D33">
        <f>SUM(D26:D30)</f>
        <v>12.700000000000001</v>
      </c>
      <c r="E33">
        <f>D33/4</f>
        <v>3.1750000000000003</v>
      </c>
      <c r="F33">
        <f>D33/5</f>
        <v>2.54</v>
      </c>
    </row>
    <row r="34" spans="4:6">
      <c r="E34">
        <f>_xlfn.COVARIANCE.S(B19:B23,C19:C23)</f>
        <v>3.1750000000000003</v>
      </c>
      <c r="F34">
        <f>_xlfn.COVARIANCE.P(Table1[X],Table1[Y])</f>
        <v>2.54</v>
      </c>
    </row>
    <row r="39" spans="4:6">
      <c r="D39" t="s">
        <v>56</v>
      </c>
    </row>
    <row r="40" spans="4:6">
      <c r="D40">
        <f>CORREL(Table1[X],Table1[Y])</f>
        <v>0.90937262582535006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2026-06-30T05:13:21Z</dcterms:created>
  <dcterms:modified xsi:type="dcterms:W3CDTF">2026-06-30T07:24:50Z</dcterms:modified>
  <cp:category/>
  <cp:contentStatus/>
</cp:coreProperties>
</file>