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54\"/>
    </mc:Choice>
  </mc:AlternateContent>
  <xr:revisionPtr revIDLastSave="0" documentId="13_ncr:1_{3488E35B-DF3A-4C05-849F-525CA5754415}" xr6:coauthVersionLast="47" xr6:coauthVersionMax="47" xr10:uidLastSave="{00000000-0000-0000-0000-000000000000}"/>
  <bookViews>
    <workbookView xWindow="-120" yWindow="-120" windowWidth="29040" windowHeight="15720" activeTab="1" xr2:uid="{DF33B88C-4786-4377-BF23-5EC579C56E55}"/>
  </bookViews>
  <sheets>
    <sheet name="Sheet2" sheetId="2" r:id="rId1"/>
    <sheet name="Sheet1" sheetId="1" r:id="rId2"/>
  </sheets>
  <definedNames>
    <definedName name="_xlchart.v1.0" hidden="1">Sheet2!$C$2:$C$18</definedName>
    <definedName name="_xlchart.v1.1" hidden="1">Sheet2!$H$2:$H$18</definedName>
  </definedNames>
  <calcPr calcId="181029"/>
  <pivotCaches>
    <pivotCache cacheId="0" r:id="rId3"/>
    <pivotCache cacheId="1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J31" i="2" l="1"/>
  <c r="AJ30" i="2"/>
  <c r="AJ29" i="2"/>
  <c r="AJ28" i="2"/>
  <c r="AJ26" i="2"/>
  <c r="AJ25" i="2"/>
  <c r="AJ24" i="2"/>
  <c r="AJ23" i="2"/>
  <c r="AJ22" i="2"/>
  <c r="AJ21" i="2"/>
  <c r="AJ20" i="2"/>
  <c r="AJ19" i="2"/>
  <c r="AJ18" i="2"/>
  <c r="AJ17" i="2"/>
  <c r="AJ15" i="2"/>
  <c r="AJ14" i="2"/>
  <c r="AJ13" i="2"/>
  <c r="AJ12" i="2"/>
  <c r="AJ11" i="2"/>
  <c r="AJ10" i="2"/>
  <c r="AJ9" i="2"/>
  <c r="AJ8" i="2"/>
  <c r="AJ7" i="2"/>
  <c r="AJ6" i="2"/>
  <c r="AJ4" i="2"/>
  <c r="AJ3" i="2"/>
  <c r="AJ2" i="2"/>
  <c r="S7" i="2"/>
  <c r="U5" i="2"/>
  <c r="V5" i="2"/>
  <c r="R7" i="2" s="1"/>
  <c r="M15" i="2"/>
  <c r="M14" i="2"/>
  <c r="G31" i="1"/>
  <c r="J79" i="1"/>
  <c r="J89" i="1"/>
  <c r="J90" i="1"/>
  <c r="M37" i="1" a="1"/>
  <c r="M37" i="1" s="1"/>
  <c r="K33" i="1"/>
  <c r="K32" i="1"/>
  <c r="J88" i="1"/>
  <c r="J87" i="1"/>
  <c r="J86" i="1"/>
  <c r="J85" i="1"/>
  <c r="J84" i="1"/>
  <c r="J83" i="1"/>
  <c r="J82" i="1"/>
  <c r="J80" i="1"/>
  <c r="J81" i="1"/>
  <c r="J78" i="1"/>
  <c r="K43" i="1"/>
  <c r="K44" i="1"/>
  <c r="G34" i="1"/>
  <c r="J68" i="1"/>
  <c r="J69" i="1"/>
  <c r="J70" i="1"/>
  <c r="J71" i="1"/>
  <c r="J72" i="1"/>
  <c r="J67" i="1"/>
  <c r="G68" i="1"/>
  <c r="I68" i="1" s="1"/>
  <c r="G69" i="1"/>
  <c r="I69" i="1" s="1"/>
  <c r="G70" i="1"/>
  <c r="I70" i="1" s="1"/>
  <c r="G71" i="1"/>
  <c r="I71" i="1" s="1"/>
  <c r="G72" i="1"/>
  <c r="I72" i="1" s="1"/>
  <c r="G67" i="1"/>
  <c r="I67" i="1" s="1"/>
  <c r="F68" i="1"/>
  <c r="H68" i="1" s="1"/>
  <c r="F69" i="1"/>
  <c r="H69" i="1" s="1"/>
  <c r="F70" i="1"/>
  <c r="H70" i="1" s="1"/>
  <c r="F71" i="1"/>
  <c r="H71" i="1" s="1"/>
  <c r="F72" i="1"/>
  <c r="H72" i="1" s="1"/>
  <c r="F67" i="1"/>
  <c r="H67" i="1" s="1"/>
  <c r="G59" i="1" a="1"/>
  <c r="G59" i="1" s="1"/>
  <c r="G60" i="1" a="1"/>
  <c r="G60" i="1" s="1"/>
  <c r="G61" i="1" a="1"/>
  <c r="G61" i="1"/>
  <c r="G62" i="1" a="1"/>
  <c r="G62" i="1" s="1"/>
  <c r="G63" i="1" a="1"/>
  <c r="G63" i="1" s="1"/>
  <c r="G64" i="1" a="1"/>
  <c r="G64" i="1" s="1"/>
  <c r="G58" i="1" a="1"/>
  <c r="G58" i="1" s="1"/>
  <c r="F59" i="1"/>
  <c r="F60" i="1"/>
  <c r="F61" i="1"/>
  <c r="F62" i="1"/>
  <c r="F63" i="1"/>
  <c r="F64" i="1"/>
  <c r="F58" i="1"/>
  <c r="G48" i="1"/>
  <c r="G49" i="1"/>
  <c r="G50" i="1"/>
  <c r="G51" i="1"/>
  <c r="G52" i="1"/>
  <c r="G53" i="1"/>
  <c r="G54" i="1"/>
  <c r="J6" i="1"/>
  <c r="M36" i="1"/>
  <c r="P6" i="1"/>
  <c r="F39" i="1"/>
  <c r="F38" i="1"/>
  <c r="K34" i="1"/>
  <c r="G33" i="1"/>
  <c r="G32" i="1"/>
  <c r="N7" i="1"/>
  <c r="O13" i="1"/>
  <c r="P7" i="1"/>
  <c r="N6" i="1"/>
  <c r="P5" i="1"/>
  <c r="L7" i="1"/>
  <c r="L8" i="1" s="1"/>
  <c r="L6" i="1"/>
  <c r="J5" i="1"/>
  <c r="H7" i="1"/>
  <c r="H6" i="1"/>
  <c r="N37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<sst xmlns="http://schemas.openxmlformats.org/spreadsheetml/2006/main" count="702" uniqueCount="155">
  <si>
    <t>#year</t>
  </si>
  <si>
    <t>#month</t>
  </si>
  <si>
    <t>#day</t>
  </si>
  <si>
    <t>#find</t>
  </si>
  <si>
    <t>#Replace</t>
  </si>
  <si>
    <t>#substitute</t>
  </si>
  <si>
    <t>#mid</t>
  </si>
  <si>
    <t>#search</t>
  </si>
  <si>
    <t>ABC-389-001</t>
  </si>
  <si>
    <t>ABCDEF-2005-001</t>
  </si>
  <si>
    <t>old text</t>
  </si>
  <si>
    <t>#concat</t>
  </si>
  <si>
    <t>Kumar</t>
  </si>
  <si>
    <t xml:space="preserve">Anjith </t>
  </si>
  <si>
    <t>Column1</t>
  </si>
  <si>
    <t>Column2</t>
  </si>
  <si>
    <t>aanbbjhbs</t>
  </si>
  <si>
    <t>Count</t>
  </si>
  <si>
    <t>Column3</t>
  </si>
  <si>
    <t>Column4</t>
  </si>
  <si>
    <t>Column5</t>
  </si>
  <si>
    <t>Name</t>
  </si>
  <si>
    <t>Number</t>
  </si>
  <si>
    <t>Description</t>
  </si>
  <si>
    <t>Type</t>
  </si>
  <si>
    <t>Value</t>
  </si>
  <si>
    <t>Apple</t>
  </si>
  <si>
    <t>One plus</t>
  </si>
  <si>
    <t>Razer</t>
  </si>
  <si>
    <t>ios</t>
  </si>
  <si>
    <t>Vivo</t>
  </si>
  <si>
    <t>Microsoft</t>
  </si>
  <si>
    <t>Canon</t>
  </si>
  <si>
    <t>Kotak</t>
  </si>
  <si>
    <t>Axis</t>
  </si>
  <si>
    <t>Miamia</t>
  </si>
  <si>
    <t>Mobile</t>
  </si>
  <si>
    <t>Laptop</t>
  </si>
  <si>
    <t>Fruits</t>
  </si>
  <si>
    <t>Orange</t>
  </si>
  <si>
    <t>Banana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</si>
  <si>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</si>
  <si>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</si>
  <si>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</si>
  <si>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</si>
  <si>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</si>
  <si>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</si>
  <si>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</si>
  <si>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</si>
  <si>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</si>
  <si>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</si>
  <si>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#index</t>
  </si>
  <si>
    <t>Vlookup</t>
  </si>
  <si>
    <t>Marks</t>
  </si>
  <si>
    <t>Result</t>
  </si>
  <si>
    <t>A</t>
  </si>
  <si>
    <t>B</t>
  </si>
  <si>
    <t>C</t>
  </si>
  <si>
    <t>D</t>
  </si>
  <si>
    <t>E</t>
  </si>
  <si>
    <t>F</t>
  </si>
  <si>
    <t>G</t>
  </si>
  <si>
    <t>Age</t>
  </si>
  <si>
    <t>Agecriteria</t>
  </si>
  <si>
    <t>maths</t>
  </si>
  <si>
    <t>physics</t>
  </si>
  <si>
    <t>Analysis(OR)</t>
  </si>
  <si>
    <t>Analysis(AND)</t>
  </si>
  <si>
    <t>Result(OR)</t>
  </si>
  <si>
    <t>Result(And)</t>
  </si>
  <si>
    <t>XOR</t>
  </si>
  <si>
    <t>customer</t>
  </si>
  <si>
    <t>surname</t>
  </si>
  <si>
    <t>credits</t>
  </si>
  <si>
    <t>Geography</t>
  </si>
  <si>
    <t>Gender</t>
  </si>
  <si>
    <t>Balance</t>
  </si>
  <si>
    <t>StudentID</t>
  </si>
  <si>
    <t>StudyHoursPerWeek</t>
  </si>
  <si>
    <t>AttendancePct</t>
  </si>
  <si>
    <t>SleepHours</t>
  </si>
  <si>
    <t>TestScore</t>
  </si>
  <si>
    <t>Department</t>
  </si>
  <si>
    <t>Female</t>
  </si>
  <si>
    <t>Science</t>
  </si>
  <si>
    <t>Male</t>
  </si>
  <si>
    <t>Commerce</t>
  </si>
  <si>
    <t>Arts</t>
  </si>
  <si>
    <t>Malhotra</t>
  </si>
  <si>
    <t>France</t>
  </si>
  <si>
    <t>Patel</t>
  </si>
  <si>
    <t>Germany</t>
  </si>
  <si>
    <t>Jain</t>
  </si>
  <si>
    <t>Spain</t>
  </si>
  <si>
    <t>Singh</t>
  </si>
  <si>
    <t>India</t>
  </si>
  <si>
    <t>Chopra</t>
  </si>
  <si>
    <t>Mehta</t>
  </si>
  <si>
    <t>Yadav</t>
  </si>
  <si>
    <t>Iyer</t>
  </si>
  <si>
    <t>Saxena</t>
  </si>
  <si>
    <t>Joshi</t>
  </si>
  <si>
    <t>Verma</t>
  </si>
  <si>
    <t>Mishra</t>
  </si>
  <si>
    <t>Reddy</t>
  </si>
  <si>
    <t>Bose</t>
  </si>
  <si>
    <t>Gupta</t>
  </si>
  <si>
    <t>Kulkarni</t>
  </si>
  <si>
    <t>Nair</t>
  </si>
  <si>
    <t>Das</t>
  </si>
  <si>
    <t>Kapoor</t>
  </si>
  <si>
    <t>Sharma</t>
  </si>
  <si>
    <t>Sno</t>
  </si>
  <si>
    <t>Counta</t>
  </si>
  <si>
    <t>Countifs</t>
  </si>
  <si>
    <t>Countif</t>
  </si>
  <si>
    <t>Mean</t>
  </si>
  <si>
    <t>Median</t>
  </si>
  <si>
    <t>standard deviation  S</t>
  </si>
  <si>
    <t>Standard deviation P</t>
  </si>
  <si>
    <t>Mode</t>
  </si>
  <si>
    <t>Variance P</t>
  </si>
  <si>
    <t>Variance S</t>
  </si>
  <si>
    <t>count blanks</t>
  </si>
  <si>
    <t>correlation</t>
  </si>
  <si>
    <t>Company</t>
  </si>
  <si>
    <t>Logo</t>
  </si>
  <si>
    <t>Sales</t>
  </si>
  <si>
    <t>Google</t>
  </si>
  <si>
    <t>Amazon</t>
  </si>
  <si>
    <t>Crunchyroll</t>
  </si>
  <si>
    <t>Netflix</t>
  </si>
  <si>
    <t xml:space="preserve"> </t>
  </si>
  <si>
    <t>Date</t>
  </si>
  <si>
    <t>Time</t>
  </si>
  <si>
    <t>Percentage</t>
  </si>
  <si>
    <t>#,##0 for postive</t>
  </si>
  <si>
    <t>0#,##0 for negative</t>
  </si>
  <si>
    <t>0,0</t>
  </si>
  <si>
    <t>#,0</t>
  </si>
  <si>
    <t>0,00</t>
  </si>
  <si>
    <t>#,00</t>
  </si>
  <si>
    <t>#,000</t>
  </si>
  <si>
    <t>Custom Formatting</t>
  </si>
  <si>
    <t>#,##0;"Negative"</t>
  </si>
  <si>
    <t>for print negative</t>
  </si>
  <si>
    <t>convert negative values to positive values</t>
  </si>
  <si>
    <t>#,##0;#,##0</t>
  </si>
  <si>
    <t>"Positive";-#,##0</t>
  </si>
  <si>
    <t>Conditional formatting</t>
  </si>
  <si>
    <t>Count of Gender</t>
  </si>
  <si>
    <t>Row Labels</t>
  </si>
  <si>
    <t>Grand Total</t>
  </si>
  <si>
    <t>Sum of TestScore</t>
  </si>
  <si>
    <t xml:space="preserve">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</si>
</sst>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7" formatCode="&quot;₹&quot;\ #,##0.00;&quot;₹&quot;\ \-#,##0.00"/>
    <numFmt numFmtId="164" formatCode="[$-F800]dddd\,\ mmmm\ dd\,\ yyyy"/>
    <numFmt numFmtId="165" formatCode="[$-10409]hh:mm\ AM/PM;@"/>
    <numFmt numFmtId="166" formatCode="[$-14009]hh:mm;@"/>
    <numFmt numFmtId="167" formatCode="0.0000%"/>
    <numFmt numFmtId="168" formatCode="&quot;△&quot;\ #,##0;&quot;▲&quot;\ #,##0"/>
    <numFmt numFmtId="169" formatCode="0.0"/>
    <numFmt numFmtId="170" formatCode="#.0"/>
    <numFmt numFmtId="171" formatCode="#.00"/>
    <numFmt numFmtId="172" formatCode="#.000"/>
    <numFmt numFmtId="173" formatCode="\-#,##0;\-#,##0;0;"/>
    <numFmt numFmtId="174" formatCode="#,##0;#,##0"/>
  </numFmts>
  <fonts count="15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8"/>
      <name val="Calibri"/>
      <family val="2"/>
      <scheme val="minor"/>
    </font>
    <font>
      <sz val="36"/>
      <color theme="5" tint="0.39997558519241921"/>
      <name val="Calibri"/>
      <family val="2"/>
      <scheme val="minor"/>
    </font>
    <font>
      <sz val="24"/>
      <color theme="4" tint="-0.249977111117893"/>
      <name val="Calibri"/>
      <family val="2"/>
      <scheme val="minor"/>
    </font>
    <font>
      <sz val="36"/>
      <color theme="8" tint="-0.499984740745262"/>
      <name val="Calibri"/>
      <family val="2"/>
      <scheme val="minor"/>
    </font>
    <font>
      <sz val="28"/>
      <color theme="5" tint="0.39997558519241921"/>
      <name val="Calibri"/>
      <family val="2"/>
      <scheme val="minor"/>
    </font>
    <font>
      <b/>
      <i/>
      <sz val="12"/>
      <color theme="1"/>
      <name val="times roman"/>
    </font>
    <font>
      <strike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 tint="0.59999389629810485"/>
        <bgColor indexed="65"/>
      </patternFill>
    </fill>
    <fill>
      <patternFill patternType="solid">
        <fgColor rgb="FF1F4E78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theme="5" tint="0.59996337778862885"/>
      </patternFill>
    </fill>
    <fill>
      <patternFill patternType="gray0625">
        <bgColor theme="6" tint="0.79995117038483843"/>
      </patternFill>
    </fill>
    <fill>
      <patternFill patternType="lightDown">
        <bgColor theme="7" tint="0.79992065187536243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FFBF8"/>
        <bgColor indexed="64"/>
      </patternFill>
    </fill>
    <fill>
      <patternFill patternType="solid">
        <fgColor rgb="FFEEE8F2"/>
        <bgColor indexed="64"/>
      </patternFill>
    </fill>
    <fill>
      <patternFill patternType="solid">
        <fgColor rgb="FFF6F5E4"/>
        <bgColor indexed="64"/>
      </patternFill>
    </fill>
    <fill>
      <patternFill patternType="solid">
        <fgColor rgb="FFE4EEED"/>
        <bgColor indexed="64"/>
      </patternFill>
    </fill>
    <fill>
      <patternFill patternType="solid">
        <fgColor rgb="FFE0F6DC"/>
        <bgColor indexed="64"/>
      </patternFill>
    </fill>
    <fill>
      <patternFill patternType="solid">
        <fgColor rgb="FFF3FAD8"/>
        <bgColor indexed="64"/>
      </patternFill>
    </fill>
    <fill>
      <patternFill patternType="solid">
        <fgColor rgb="FFFFD3D3"/>
        <bgColor indexed="64"/>
      </patternFill>
    </fill>
    <fill>
      <patternFill patternType="solid">
        <fgColor rgb="FFDEE8F4"/>
        <bgColor indexed="64"/>
      </patternFill>
    </fill>
    <fill>
      <patternFill patternType="solid">
        <fgColor rgb="FFDBF4F7"/>
        <bgColor indexed="64"/>
      </patternFill>
    </fill>
    <fill>
      <patternFill patternType="solid">
        <fgColor rgb="FFEEFBD7"/>
        <bgColor indexed="64"/>
      </patternFill>
    </fill>
    <fill>
      <patternFill patternType="solid">
        <fgColor rgb="FFFDD5FD"/>
        <bgColor indexed="64"/>
      </patternFill>
    </fill>
  </fills>
  <borders count="2">
    <border>
      <left/>
      <right/>
      <top/>
      <bottom/>
      <diagonal/>
    </border>
    <border>
      <left style="thick">
        <color theme="4" tint="0.59996337778862885"/>
      </left>
      <right style="thick">
        <color theme="4" tint="0.59996337778862885"/>
      </right>
      <top style="thick">
        <color theme="4" tint="0.59996337778862885"/>
      </top>
      <bottom style="thick">
        <color theme="4" tint="0.59996337778862885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3" fillId="3" borderId="0" applyNumberFormat="0" applyBorder="0" applyAlignment="0" applyProtection="0"/>
  </cellStyleXfs>
  <cellXfs count="63">
    <xf numFmtId="0" fontId="0" fillId="0" borderId="0" xfId="0"/>
    <xf numFmtId="0" fontId="2" fillId="0" borderId="0" xfId="0" applyFont="1"/>
    <xf numFmtId="0" fontId="1" fillId="2" borderId="0" xfId="1"/>
    <xf numFmtId="0" fontId="5" fillId="4" borderId="0" xfId="0" applyFont="1" applyFill="1"/>
    <xf numFmtId="0" fontId="0" fillId="5" borderId="0" xfId="0" applyFill="1"/>
    <xf numFmtId="1" fontId="0" fillId="5" borderId="0" xfId="0" applyNumberFormat="1" applyFill="1"/>
    <xf numFmtId="0" fontId="4" fillId="6" borderId="0" xfId="0" applyFont="1" applyFill="1"/>
    <xf numFmtId="1" fontId="0" fillId="0" borderId="0" xfId="0" applyNumberFormat="1"/>
    <xf numFmtId="3" fontId="0" fillId="0" borderId="0" xfId="0" applyNumberFormat="1"/>
    <xf numFmtId="0" fontId="4" fillId="0" borderId="0" xfId="0" applyFont="1"/>
    <xf numFmtId="0" fontId="7" fillId="0" borderId="0" xfId="0" applyFont="1"/>
    <xf numFmtId="0" fontId="8" fillId="7" borderId="0" xfId="2" applyFont="1" applyFill="1"/>
    <xf numFmtId="0" fontId="9" fillId="0" borderId="0" xfId="0" applyFont="1"/>
    <xf numFmtId="0" fontId="10" fillId="0" borderId="0" xfId="0" applyFont="1"/>
    <xf numFmtId="0" fontId="4" fillId="6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9" borderId="0" xfId="0" applyFont="1" applyFill="1"/>
    <xf numFmtId="165" fontId="0" fillId="0" borderId="0" xfId="0" applyNumberFormat="1"/>
    <xf numFmtId="10" fontId="0" fillId="0" borderId="0" xfId="0" applyNumberFormat="1"/>
    <xf numFmtId="166" fontId="0" fillId="0" borderId="0" xfId="0" applyNumberFormat="1"/>
    <xf numFmtId="167" fontId="0" fillId="0" borderId="0" xfId="0" applyNumberFormat="1"/>
    <xf numFmtId="49" fontId="0" fillId="0" borderId="0" xfId="0" applyNumberFormat="1"/>
    <xf numFmtId="164" fontId="0" fillId="10" borderId="0" xfId="0" applyNumberFormat="1" applyFill="1"/>
    <xf numFmtId="0" fontId="0" fillId="12" borderId="1" xfId="0" applyFill="1" applyBorder="1" applyAlignment="1">
      <alignment horizontal="center" vertical="center" wrapText="1"/>
    </xf>
    <xf numFmtId="1" fontId="0" fillId="12" borderId="1" xfId="0" applyNumberFormat="1" applyFill="1" applyBorder="1" applyAlignment="1">
      <alignment horizontal="center" vertical="center" wrapText="1"/>
    </xf>
    <xf numFmtId="0" fontId="0" fillId="8" borderId="1" xfId="0" applyFill="1" applyBorder="1" applyAlignment="1">
      <alignment readingOrder="1"/>
    </xf>
    <xf numFmtId="0" fontId="0" fillId="8" borderId="1" xfId="0" applyFill="1" applyBorder="1"/>
    <xf numFmtId="0" fontId="0" fillId="13" borderId="1" xfId="0" applyFill="1" applyBorder="1"/>
    <xf numFmtId="1" fontId="0" fillId="14" borderId="1" xfId="0" applyNumberFormat="1" applyFill="1" applyBorder="1"/>
    <xf numFmtId="0" fontId="12" fillId="15" borderId="1" xfId="0" applyFont="1" applyFill="1" applyBorder="1"/>
    <xf numFmtId="0" fontId="13" fillId="15" borderId="1" xfId="0" applyFont="1" applyFill="1" applyBorder="1"/>
    <xf numFmtId="0" fontId="14" fillId="15" borderId="1" xfId="0" applyFont="1" applyFill="1" applyBorder="1"/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11" fillId="18" borderId="1" xfId="0" applyFont="1" applyFill="1" applyBorder="1"/>
    <xf numFmtId="0" fontId="11" fillId="19" borderId="1" xfId="0" applyFont="1" applyFill="1" applyBorder="1"/>
    <xf numFmtId="0" fontId="11" fillId="20" borderId="1" xfId="0" applyFont="1" applyFill="1" applyBorder="1"/>
    <xf numFmtId="0" fontId="11" fillId="21" borderId="1" xfId="0" applyFont="1" applyFill="1" applyBorder="1"/>
    <xf numFmtId="0" fontId="11" fillId="22" borderId="1" xfId="0" applyFont="1" applyFill="1" applyBorder="1"/>
    <xf numFmtId="0" fontId="11" fillId="23" borderId="1" xfId="0" applyFont="1" applyFill="1" applyBorder="1"/>
    <xf numFmtId="9" fontId="0" fillId="0" borderId="0" xfId="0" applyNumberFormat="1"/>
    <xf numFmtId="0" fontId="0" fillId="12" borderId="1" xfId="0" applyFill="1" applyBorder="1" applyAlignment="1" applyProtection="1">
      <alignment horizontal="center" vertical="center" wrapText="1"/>
      <protection locked="0" hidden="1"/>
    </xf>
    <xf numFmtId="0" fontId="0" fillId="12" borderId="1" xfId="0" applyFill="1" applyBorder="1" applyAlignment="1" applyProtection="1">
      <alignment horizontal="center" vertical="center" wrapText="1"/>
      <protection locked="0"/>
    </xf>
    <xf numFmtId="0" fontId="11" fillId="24" borderId="1" xfId="0" applyFont="1" applyFill="1" applyBorder="1"/>
    <xf numFmtId="168" fontId="0" fillId="0" borderId="0" xfId="0" applyNumberFormat="1"/>
    <xf numFmtId="7" fontId="0" fillId="0" borderId="0" xfId="0" applyNumberFormat="1"/>
    <xf numFmtId="0" fontId="0" fillId="8" borderId="0" xfId="0" applyFill="1"/>
    <xf numFmtId="0" fontId="11" fillId="25" borderId="1" xfId="0" applyFont="1" applyFill="1" applyBorder="1"/>
    <xf numFmtId="0" fontId="0" fillId="11" borderId="0" xfId="0" applyFill="1"/>
    <xf numFmtId="169" fontId="0" fillId="0" borderId="0" xfId="0" applyNumberFormat="1"/>
    <xf numFmtId="170" fontId="0" fillId="0" borderId="0" xfId="0" applyNumberFormat="1"/>
    <xf numFmtId="2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4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74" fontId="0" fillId="11" borderId="1" xfId="0" applyNumberFormat="1" applyFill="1" applyBorder="1"/>
    <xf numFmtId="0" fontId="1" fillId="2" borderId="0" xfId="1" applyAlignment="1">
      <alignment horizontal="center"/>
    </xf>
    <xf numFmtId="0" fontId="0" fillId="0" borderId="0" xfId="0" applyAlignment="1">
      <alignment horizontal="center"/>
    </xf>
  </cellXfs>
  <cellStyles count="3">
    <cellStyle name="40% - Accent1" xfId="2" builtinId="31"/>
    <cellStyle name="Good" xfId="1" builtinId="26"/>
    <cellStyle name="Normal" xfId="0" builtinId="0"/>
  </cellStyles>
  <dxfs count="25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-0.499984740745262"/>
        </patternFill>
      </fill>
    </dxf>
    <dxf>
      <fill>
        <patternFill patternType="solid">
          <fgColor indexed="64"/>
          <bgColor rgb="FFEAF2F8"/>
        </patternFill>
      </fill>
    </dxf>
    <dxf>
      <fill>
        <patternFill patternType="solid">
          <fgColor indexed="64"/>
          <bgColor rgb="FFEAF2F8"/>
        </patternFill>
      </fill>
    </dxf>
    <dxf>
      <fill>
        <patternFill patternType="solid">
          <fgColor indexed="64"/>
          <bgColor rgb="FFEAF2F8"/>
        </patternFill>
      </fill>
    </dxf>
    <dxf>
      <numFmt numFmtId="1" formatCode="0"/>
      <fill>
        <patternFill patternType="solid">
          <fgColor indexed="64"/>
          <bgColor rgb="FFEAF2F8"/>
        </patternFill>
      </fill>
    </dxf>
    <dxf>
      <fill>
        <patternFill patternType="solid">
          <fgColor indexed="64"/>
          <bgColor rgb="FFEAF2F8"/>
        </patternFill>
      </fill>
    </dxf>
    <dxf>
      <fill>
        <patternFill patternType="solid">
          <fgColor indexed="64"/>
          <bgColor rgb="FFEAF2F8"/>
        </patternFill>
      </fill>
    </dxf>
    <dxf>
      <fill>
        <patternFill patternType="solid">
          <fgColor indexed="64"/>
          <bgColor rgb="FFEAF2F8"/>
        </patternFill>
      </fill>
    </dxf>
    <dxf>
      <fill>
        <patternFill patternType="solid">
          <fgColor indexed="64"/>
          <bgColor rgb="FFEAF2F8"/>
        </patternFill>
      </fill>
    </dxf>
    <dxf>
      <fill>
        <patternFill patternType="solid">
          <fgColor indexed="64"/>
          <bgColor rgb="FFEAF2F8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F4E78"/>
        </patternFill>
      </fill>
    </dxf>
    <dxf>
      <numFmt numFmtId="0" formatCode="General"/>
    </dxf>
    <dxf>
      <numFmt numFmtId="164" formatCode="[$-F800]dddd\,\ mmmm\ dd\,\ yyyy"/>
    </dxf>
    <dxf>
      <numFmt numFmtId="1" formatCode="0"/>
    </dxf>
  </dxfs>
  <tableStyles count="0" defaultTableStyle="TableStyleMedium2" defaultPivotStyle="PivotStyleLight16"/>
  <colors>
    <mruColors>
      <color rgb="FFE4EEED"/>
      <color rgb="FFFDD5FD"/>
      <color rgb="FFEEFBD7"/>
      <color rgb="FFDBF4F7"/>
      <color rgb="FFDEE8F4"/>
      <color rgb="FFFFD3D3"/>
      <color rgb="FFF3FAD8"/>
      <color rgb="FFE0F6DC"/>
      <color rgb="FFF6F5E4"/>
      <color rgb="FFEEE8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[Conditional_format.xlsx]Sheet2!PivotTable18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Sheet2!$AP$6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Sheet2!$AO$7:$AO$10</c:f>
              <c:strCache>
                <c:ptCount val="3"/>
                <c:pt idx="0">
                  <c:v>Arts</c:v>
                </c:pt>
                <c:pt idx="1">
                  <c:v>Commerce</c:v>
                </c:pt>
                <c:pt idx="2">
                  <c:v>Science</c:v>
                </c:pt>
              </c:strCache>
            </c:strRef>
          </c:cat>
          <c:val>
            <c:numRef>
              <c:f>Sheet2!$AP$7:$AP$10</c:f>
              <c:numCache>
                <c:formatCode>General</c:formatCode>
                <c:ptCount val="3"/>
                <c:pt idx="0">
                  <c:v>538</c:v>
                </c:pt>
                <c:pt idx="1">
                  <c:v>652</c:v>
                </c:pt>
                <c:pt idx="2">
                  <c:v>1027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539-4B35-B0CD-27D91070D8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4529295"/>
        <c:axId val="1694233007"/>
      </c:barChart>
      <c:catAx>
        <c:axId val="214529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4233007"/>
        <c:crosses val="autoZero"/>
        <c:auto val="1"/>
        <c:lblAlgn val="ctr"/>
        <c:lblOffset val="100"/>
        <c:noMultiLvlLbl val="0"/>
      </c:catAx>
      <c:valAx>
        <c:axId val="1694233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529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E4D886BE-C299-4DD5-99B5-E18A088E2FD2}">
          <cx:dataId val="0"/>
          <cx:layoutPr>
            <cx:aggregation/>
          </cx:layoutPr>
          <cx:axisId val="1"/>
        </cx:series>
        <cx:series layoutId="paretoLine" ownerIdx="0" uniqueId="{2C7B0B8B-59A1-4600-B206-3AB43DBA6593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7" Type="http://schemas.openxmlformats.org/officeDocument/2006/relationships/image" Target="../media/image4.jpeg"/><Relationship Id="rId2" Type="http://schemas.openxmlformats.org/officeDocument/2006/relationships/hyperlink" Target="https://freepngimg.com/png/66904-logo-now-google-plus-home-free-png-hq" TargetMode="External"/><Relationship Id="rId1" Type="http://schemas.openxmlformats.org/officeDocument/2006/relationships/image" Target="../media/image1.png"/><Relationship Id="rId6" Type="http://schemas.openxmlformats.org/officeDocument/2006/relationships/hyperlink" Target="https://www.nintendoblast.com.br/2014/12/aplicativo-crunchyroll-eshop-wiiu.html" TargetMode="External"/><Relationship Id="rId5" Type="http://schemas.openxmlformats.org/officeDocument/2006/relationships/image" Target="../media/image3.png"/><Relationship Id="rId4" Type="http://schemas.openxmlformats.org/officeDocument/2006/relationships/hyperlink" Target="https://www.film-rezensionen.de/2025/03/neue-filme-und-serien-bei-amazon-prime-video-maerz-2025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590550</xdr:colOff>
      <xdr:row>21</xdr:row>
      <xdr:rowOff>52387</xdr:rowOff>
    </xdr:from>
    <xdr:to>
      <xdr:col>43</xdr:col>
      <xdr:colOff>152400</xdr:colOff>
      <xdr:row>35</xdr:row>
      <xdr:rowOff>128587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13C5C08-538C-7B83-FD5D-15217F5917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44</xdr:col>
      <xdr:colOff>314325</xdr:colOff>
      <xdr:row>21</xdr:row>
      <xdr:rowOff>52387</xdr:rowOff>
    </xdr:from>
    <xdr:to>
      <xdr:col>55</xdr:col>
      <xdr:colOff>38100</xdr:colOff>
      <xdr:row>35</xdr:row>
      <xdr:rowOff>128587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17E64938-5711-85DB-2DBD-8CBB2115B60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6880800" y="500538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1152525</xdr:colOff>
      <xdr:row>195</xdr:row>
      <xdr:rowOff>219075</xdr:rowOff>
    </xdr:from>
    <xdr:to>
      <xdr:col>5</xdr:col>
      <xdr:colOff>2457450</xdr:colOff>
      <xdr:row>195</xdr:row>
      <xdr:rowOff>1038225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43E5FB4-90C3-E83A-D794-91F3E6350E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5419725" y="39328725"/>
          <a:ext cx="1304925" cy="819150"/>
        </a:xfrm>
        <a:prstGeom prst="rect">
          <a:avLst/>
        </a:prstGeom>
        <a:noFill/>
      </xdr:spPr>
    </xdr:pic>
    <xdr:clientData/>
  </xdr:twoCellAnchor>
  <xdr:oneCellAnchor>
    <xdr:from>
      <xdr:col>5</xdr:col>
      <xdr:colOff>0</xdr:colOff>
      <xdr:row>223</xdr:row>
      <xdr:rowOff>180976</xdr:rowOff>
    </xdr:from>
    <xdr:ext cx="3486150" cy="54753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A286711-8B09-AD97-5427-9163D84CBA0D}"/>
            </a:ext>
          </a:extLst>
        </xdr:cNvPr>
        <xdr:cNvSpPr txBox="1"/>
      </xdr:nvSpPr>
      <xdr:spPr>
        <a:xfrm>
          <a:off x="3171825" y="42033826"/>
          <a:ext cx="3486150" cy="5475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IN" sz="900"/>
        </a:p>
      </xdr:txBody>
    </xdr:sp>
    <xdr:clientData/>
  </xdr:oneCellAnchor>
  <xdr:twoCellAnchor>
    <xdr:from>
      <xdr:col>5</xdr:col>
      <xdr:colOff>466725</xdr:colOff>
      <xdr:row>196</xdr:row>
      <xdr:rowOff>148661</xdr:rowOff>
    </xdr:from>
    <xdr:to>
      <xdr:col>5</xdr:col>
      <xdr:colOff>3171825</xdr:colOff>
      <xdr:row>196</xdr:row>
      <xdr:rowOff>1020866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3A75FC4-4F0F-4785-70D4-D539F958BB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4"/>
            </a:ext>
          </a:extLst>
        </a:blip>
        <a:stretch>
          <a:fillRect/>
        </a:stretch>
      </xdr:blipFill>
      <xdr:spPr>
        <a:xfrm>
          <a:off x="4733925" y="38115311"/>
          <a:ext cx="2705100" cy="872205"/>
        </a:xfrm>
        <a:prstGeom prst="rect">
          <a:avLst/>
        </a:prstGeom>
      </xdr:spPr>
    </xdr:pic>
    <xdr:clientData/>
  </xdr:twoCellAnchor>
  <xdr:oneCellAnchor>
    <xdr:from>
      <xdr:col>5</xdr:col>
      <xdr:colOff>0</xdr:colOff>
      <xdr:row>211</xdr:row>
      <xdr:rowOff>64770</xdr:rowOff>
    </xdr:from>
    <xdr:ext cx="7772400" cy="233205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B5D1BA76-84BB-26C5-A21C-F7BFE6E92B65}"/>
            </a:ext>
          </a:extLst>
        </xdr:cNvPr>
        <xdr:cNvSpPr txBox="1"/>
      </xdr:nvSpPr>
      <xdr:spPr>
        <a:xfrm>
          <a:off x="3171825" y="42317670"/>
          <a:ext cx="777240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IN" sz="900"/>
        </a:p>
      </xdr:txBody>
    </xdr:sp>
    <xdr:clientData/>
  </xdr:oneCellAnchor>
  <xdr:twoCellAnchor>
    <xdr:from>
      <xdr:col>5</xdr:col>
      <xdr:colOff>523874</xdr:colOff>
      <xdr:row>197</xdr:row>
      <xdr:rowOff>123825</xdr:rowOff>
    </xdr:from>
    <xdr:to>
      <xdr:col>5</xdr:col>
      <xdr:colOff>2946400</xdr:colOff>
      <xdr:row>197</xdr:row>
      <xdr:rowOff>1057275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4E873758-70FD-B216-8A0C-693A5FC4A4D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6"/>
            </a:ext>
          </a:extLst>
        </a:blip>
        <a:srcRect l="26123" r="29388"/>
        <a:stretch>
          <a:fillRect/>
        </a:stretch>
      </xdr:blipFill>
      <xdr:spPr>
        <a:xfrm>
          <a:off x="4791074" y="39233475"/>
          <a:ext cx="2422526" cy="933450"/>
        </a:xfrm>
        <a:prstGeom prst="rect">
          <a:avLst/>
        </a:prstGeom>
      </xdr:spPr>
    </xdr:pic>
    <xdr:clientData/>
  </xdr:twoCellAnchor>
  <xdr:oneCellAnchor>
    <xdr:from>
      <xdr:col>5</xdr:col>
      <xdr:colOff>142875</xdr:colOff>
      <xdr:row>197</xdr:row>
      <xdr:rowOff>1916430</xdr:rowOff>
    </xdr:from>
    <xdr:ext cx="7772400" cy="233205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7F7B63DA-AB78-6F6F-6382-45BE8864C7E0}"/>
            </a:ext>
          </a:extLst>
        </xdr:cNvPr>
        <xdr:cNvSpPr txBox="1"/>
      </xdr:nvSpPr>
      <xdr:spPr>
        <a:xfrm>
          <a:off x="4410075" y="41026080"/>
          <a:ext cx="777240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IN" sz="900"/>
        </a:p>
      </xdr:txBody>
    </xdr:sp>
    <xdr:clientData/>
  </xdr:oneCellAnchor>
  <xdr:twoCellAnchor>
    <xdr:from>
      <xdr:col>5</xdr:col>
      <xdr:colOff>514350</xdr:colOff>
      <xdr:row>198</xdr:row>
      <xdr:rowOff>304800</xdr:rowOff>
    </xdr:from>
    <xdr:to>
      <xdr:col>5</xdr:col>
      <xdr:colOff>3390899</xdr:colOff>
      <xdr:row>198</xdr:row>
      <xdr:rowOff>904876</xdr:rowOff>
    </xdr:to>
    <xdr:pic>
      <xdr:nvPicPr>
        <xdr:cNvPr id="19" name="Picture 18" descr="Netflix Starting From $6.99 a Month ...">
          <a:extLst>
            <a:ext uri="{FF2B5EF4-FFF2-40B4-BE49-F238E27FC236}">
              <a16:creationId xmlns:a16="http://schemas.microsoft.com/office/drawing/2014/main" id="{D7145FB7-531F-67E4-7BF4-2A9F8C78917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332" t="7792" r="667" b="10390"/>
        <a:stretch>
          <a:fillRect/>
        </a:stretch>
      </xdr:blipFill>
      <xdr:spPr bwMode="auto">
        <a:xfrm>
          <a:off x="4781550" y="41605200"/>
          <a:ext cx="2876549" cy="6000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TS" refreshedDate="46177.668344097219" createdVersion="8" refreshedVersion="8" minRefreshableVersion="3" recordCount="30" xr:uid="{5E1747BC-C915-4EB3-B5A0-17B0D63A61A5}">
  <cacheSource type="worksheet">
    <worksheetSource name="Table17"/>
  </cacheSource>
  <cacheFields count="9">
    <cacheField name="StudentID" numFmtId="0">
      <sharedItems containsSemiMixedTypes="0" containsString="0" containsNumber="1" containsInteger="1" minValue="1001" maxValue="1030" count="30"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</sharedItems>
    </cacheField>
    <cacheField name="Age" numFmtId="0">
      <sharedItems containsSemiMixedTypes="0" containsString="0" containsNumber="1" containsInteger="1" minValue="18" maxValue="22" count="5">
        <n v="18"/>
        <n v="19"/>
        <n v="20"/>
        <n v="21"/>
        <n v="22"/>
      </sharedItems>
    </cacheField>
    <cacheField name="Gender" numFmtId="0">
      <sharedItems count="2">
        <s v="Female"/>
        <s v="Male"/>
      </sharedItems>
    </cacheField>
    <cacheField name="StudyHoursPerWeek" numFmtId="0">
      <sharedItems containsSemiMixedTypes="0" containsString="0" containsNumber="1" containsInteger="1" minValue="5" maxValue="17"/>
    </cacheField>
    <cacheField name="AttendancePct" numFmtId="1">
      <sharedItems containsSemiMixedTypes="0" containsString="0" containsNumber="1" containsInteger="1" minValue="25" maxValue="99"/>
    </cacheField>
    <cacheField name="SleepHours" numFmtId="0">
      <sharedItems containsSemiMixedTypes="0" containsString="0" containsNumber="1" minValue="5.7" maxValue="8.1999999999999993"/>
    </cacheField>
    <cacheField name="TestScore" numFmtId="0">
      <sharedItems containsSemiMixedTypes="0" containsString="0" containsNumber="1" containsInteger="1" minValue="54" maxValue="94"/>
    </cacheField>
    <cacheField name="Department" numFmtId="0">
      <sharedItems count="3">
        <s v="Science"/>
        <s v="Commerce"/>
        <s v="Arts"/>
      </sharedItems>
    </cacheField>
    <cacheField name="Date" numFmtId="164">
      <sharedItems containsSemiMixedTypes="0" containsNonDate="0" containsDate="1" containsString="0" minDate="2026-06-03T00:00:00" maxDate="2026-06-07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TS" refreshedDate="46177.674151041669" createdVersion="8" refreshedVersion="8" minRefreshableVersion="3" recordCount="25" xr:uid="{89794C17-C152-45C4-8F8A-004E5CA088FB}">
  <cacheSource type="worksheet">
    <worksheetSource ref="AA1:AJ26" sheet="Sheet2"/>
  </cacheSource>
  <cacheFields count="10">
    <cacheField name="Sno" numFmtId="0">
      <sharedItems containsSemiMixedTypes="0" containsString="0" containsNumber="1" containsInteger="1" minValue="1" maxValue="25" count="25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</sharedItems>
    </cacheField>
    <cacheField name="StudentID" numFmtId="0">
      <sharedItems containsSemiMixedTypes="0" containsString="0" containsNumber="1" containsInteger="1" minValue="1001" maxValue="1025"/>
    </cacheField>
    <cacheField name="Age" numFmtId="0">
      <sharedItems containsSemiMixedTypes="0" containsString="0" containsNumber="1" containsInteger="1" minValue="18" maxValue="22"/>
    </cacheField>
    <cacheField name="Gender" numFmtId="0">
      <sharedItems count="2">
        <s v="Female"/>
        <s v="Male"/>
      </sharedItems>
    </cacheField>
    <cacheField name="StudyHoursPerWeek" numFmtId="0">
      <sharedItems containsSemiMixedTypes="0" containsString="0" containsNumber="1" containsInteger="1" minValue="5" maxValue="17"/>
    </cacheField>
    <cacheField name="AttendancePct" numFmtId="1">
      <sharedItems containsSemiMixedTypes="0" containsString="0" containsNumber="1" containsInteger="1" minValue="25" maxValue="99"/>
    </cacheField>
    <cacheField name="SleepHours" numFmtId="0">
      <sharedItems containsSemiMixedTypes="0" containsString="0" containsNumber="1" minValue="5.7" maxValue="8.1999999999999993"/>
    </cacheField>
    <cacheField name="TestScore" numFmtId="0">
      <sharedItems containsSemiMixedTypes="0" containsString="0" containsNumber="1" containsInteger="1" minValue="54" maxValue="94"/>
    </cacheField>
    <cacheField name="Department" numFmtId="0">
      <sharedItems count="3">
        <s v="Science"/>
        <s v="Commerce"/>
        <s v="Arts"/>
      </sharedItems>
    </cacheField>
    <cacheField name="Date" numFmtId="164">
      <sharedItems containsSemiMixedTypes="0" containsNonDate="0" containsDate="1" containsString="0" minDate="2026-06-03T00:00:00" maxDate="2026-06-07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x v="0"/>
    <n v="12"/>
    <n v="92"/>
    <n v="7.5"/>
    <n v="78"/>
    <x v="0"/>
    <d v="2026-06-04T00:00:00"/>
  </r>
  <r>
    <x v="1"/>
    <x v="1"/>
    <x v="1"/>
    <n v="9"/>
    <n v="85"/>
    <n v="6.8"/>
    <n v="69"/>
    <x v="1"/>
    <d v="2026-06-05T00:00:00"/>
  </r>
  <r>
    <x v="2"/>
    <x v="2"/>
    <x v="0"/>
    <n v="15"/>
    <n v="96"/>
    <n v="7.9"/>
    <n v="88"/>
    <x v="0"/>
    <d v="2026-06-03T00:00:00"/>
  </r>
  <r>
    <x v="3"/>
    <x v="3"/>
    <x v="1"/>
    <n v="7"/>
    <n v="74"/>
    <n v="6.2"/>
    <n v="61"/>
    <x v="2"/>
    <d v="2026-06-05T00:00:00"/>
  </r>
  <r>
    <x v="4"/>
    <x v="4"/>
    <x v="0"/>
    <n v="11"/>
    <n v="89"/>
    <n v="7.1"/>
    <n v="75"/>
    <x v="1"/>
    <d v="2026-06-04T00:00:00"/>
  </r>
  <r>
    <x v="5"/>
    <x v="0"/>
    <x v="1"/>
    <n v="16"/>
    <n v="98"/>
    <n v="8"/>
    <n v="91"/>
    <x v="0"/>
    <d v="2026-06-06T00:00:00"/>
  </r>
  <r>
    <x v="6"/>
    <x v="1"/>
    <x v="0"/>
    <n v="8"/>
    <n v="80"/>
    <n v="6.5"/>
    <n v="66"/>
    <x v="2"/>
    <d v="2026-06-06T00:00:00"/>
  </r>
  <r>
    <x v="7"/>
    <x v="2"/>
    <x v="1"/>
    <n v="13"/>
    <n v="93"/>
    <n v="7.2"/>
    <n v="82"/>
    <x v="0"/>
    <d v="2026-06-05T00:00:00"/>
  </r>
  <r>
    <x v="8"/>
    <x v="3"/>
    <x v="0"/>
    <n v="10"/>
    <n v="87"/>
    <n v="6.9"/>
    <n v="73"/>
    <x v="1"/>
    <d v="2026-06-05T00:00:00"/>
  </r>
  <r>
    <x v="9"/>
    <x v="4"/>
    <x v="1"/>
    <n v="6"/>
    <n v="70"/>
    <n v="5.8"/>
    <n v="58"/>
    <x v="2"/>
    <d v="2026-06-03T00:00:00"/>
  </r>
  <r>
    <x v="10"/>
    <x v="0"/>
    <x v="0"/>
    <n v="14"/>
    <n v="95"/>
    <n v="7.8"/>
    <n v="86"/>
    <x v="0"/>
    <d v="2026-06-05T00:00:00"/>
  </r>
  <r>
    <x v="11"/>
    <x v="1"/>
    <x v="1"/>
    <n v="9"/>
    <n v="83"/>
    <n v="6.4"/>
    <n v="67"/>
    <x v="1"/>
    <d v="2026-06-04T00:00:00"/>
  </r>
  <r>
    <x v="12"/>
    <x v="2"/>
    <x v="0"/>
    <n v="17"/>
    <n v="99"/>
    <n v="8.1"/>
    <n v="94"/>
    <x v="0"/>
    <d v="2026-06-05T00:00:00"/>
  </r>
  <r>
    <x v="13"/>
    <x v="3"/>
    <x v="1"/>
    <n v="5"/>
    <n v="68"/>
    <n v="5.9"/>
    <n v="54"/>
    <x v="2"/>
    <d v="2026-06-03T00:00:00"/>
  </r>
  <r>
    <x v="14"/>
    <x v="4"/>
    <x v="0"/>
    <n v="12"/>
    <n v="90"/>
    <n v="7"/>
    <n v="79"/>
    <x v="1"/>
    <d v="2026-06-05T00:00:00"/>
  </r>
  <r>
    <x v="15"/>
    <x v="0"/>
    <x v="1"/>
    <n v="15"/>
    <n v="97"/>
    <n v="7.7"/>
    <n v="89"/>
    <x v="0"/>
    <d v="2026-06-04T00:00:00"/>
  </r>
  <r>
    <x v="16"/>
    <x v="1"/>
    <x v="0"/>
    <n v="7"/>
    <n v="76"/>
    <n v="6.1"/>
    <n v="62"/>
    <x v="2"/>
    <d v="2026-06-06T00:00:00"/>
  </r>
  <r>
    <x v="17"/>
    <x v="2"/>
    <x v="1"/>
    <n v="11"/>
    <n v="88"/>
    <n v="7"/>
    <n v="74"/>
    <x v="1"/>
    <d v="2026-06-06T00:00:00"/>
  </r>
  <r>
    <x v="18"/>
    <x v="3"/>
    <x v="0"/>
    <n v="13"/>
    <n v="91"/>
    <n v="7.4"/>
    <n v="81"/>
    <x v="0"/>
    <d v="2026-06-05T00:00:00"/>
  </r>
  <r>
    <x v="19"/>
    <x v="4"/>
    <x v="1"/>
    <n v="8"/>
    <n v="79"/>
    <n v="6.3"/>
    <n v="65"/>
    <x v="2"/>
    <d v="2026-06-05T00:00:00"/>
  </r>
  <r>
    <x v="20"/>
    <x v="0"/>
    <x v="0"/>
    <n v="16"/>
    <n v="98"/>
    <n v="8.1999999999999993"/>
    <n v="93"/>
    <x v="0"/>
    <d v="2026-06-03T00:00:00"/>
  </r>
  <r>
    <x v="21"/>
    <x v="1"/>
    <x v="1"/>
    <n v="10"/>
    <n v="86"/>
    <n v="6.7"/>
    <n v="71"/>
    <x v="1"/>
    <d v="2026-06-05T00:00:00"/>
  </r>
  <r>
    <x v="22"/>
    <x v="2"/>
    <x v="0"/>
    <n v="6"/>
    <n v="72"/>
    <n v="5.7"/>
    <n v="57"/>
    <x v="2"/>
    <d v="2026-06-04T00:00:00"/>
  </r>
  <r>
    <x v="23"/>
    <x v="3"/>
    <x v="1"/>
    <n v="12"/>
    <n v="90"/>
    <n v="7.1"/>
    <n v="77"/>
    <x v="0"/>
    <d v="2026-06-05T00:00:00"/>
  </r>
  <r>
    <x v="24"/>
    <x v="4"/>
    <x v="0"/>
    <n v="9"/>
    <n v="25"/>
    <n v="6.6"/>
    <n v="68"/>
    <x v="1"/>
    <d v="2026-06-03T00:00:00"/>
  </r>
  <r>
    <x v="25"/>
    <x v="0"/>
    <x v="1"/>
    <n v="14"/>
    <n v="94"/>
    <n v="7.6"/>
    <n v="85"/>
    <x v="0"/>
    <d v="2026-06-05T00:00:00"/>
  </r>
  <r>
    <x v="26"/>
    <x v="1"/>
    <x v="0"/>
    <n v="5"/>
    <n v="69"/>
    <n v="5.8"/>
    <n v="55"/>
    <x v="2"/>
    <d v="2026-06-04T00:00:00"/>
  </r>
  <r>
    <x v="27"/>
    <x v="2"/>
    <x v="1"/>
    <n v="13"/>
    <n v="92"/>
    <n v="7.3"/>
    <n v="83"/>
    <x v="0"/>
    <d v="2026-06-06T00:00:00"/>
  </r>
  <r>
    <x v="28"/>
    <x v="3"/>
    <x v="0"/>
    <n v="11"/>
    <n v="88"/>
    <n v="7"/>
    <n v="76"/>
    <x v="1"/>
    <d v="2026-06-06T00:00:00"/>
  </r>
  <r>
    <x v="29"/>
    <x v="4"/>
    <x v="1"/>
    <n v="7"/>
    <n v="75"/>
    <n v="6"/>
    <n v="60"/>
    <x v="2"/>
    <d v="2026-06-05T00:00: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x v="0"/>
    <n v="1001"/>
    <n v="18"/>
    <x v="0"/>
    <n v="12"/>
    <n v="92"/>
    <n v="7.5"/>
    <n v="78"/>
    <x v="0"/>
    <d v="2026-06-04T00:00:00"/>
  </r>
  <r>
    <x v="1"/>
    <n v="1002"/>
    <n v="19"/>
    <x v="1"/>
    <n v="9"/>
    <n v="85"/>
    <n v="6.8"/>
    <n v="69"/>
    <x v="1"/>
    <d v="2026-06-05T00:00:00"/>
  </r>
  <r>
    <x v="2"/>
    <n v="1003"/>
    <n v="20"/>
    <x v="0"/>
    <n v="15"/>
    <n v="96"/>
    <n v="7.9"/>
    <n v="88"/>
    <x v="0"/>
    <d v="2026-06-03T00:00:00"/>
  </r>
  <r>
    <x v="3"/>
    <n v="1004"/>
    <n v="21"/>
    <x v="1"/>
    <n v="7"/>
    <n v="74"/>
    <n v="6.2"/>
    <n v="61"/>
    <x v="2"/>
    <d v="2026-06-05T00:00:00"/>
  </r>
  <r>
    <x v="4"/>
    <n v="1005"/>
    <n v="22"/>
    <x v="0"/>
    <n v="11"/>
    <n v="89"/>
    <n v="7.1"/>
    <n v="75"/>
    <x v="1"/>
    <d v="2026-06-04T00:00:00"/>
  </r>
  <r>
    <x v="5"/>
    <n v="1006"/>
    <n v="18"/>
    <x v="1"/>
    <n v="16"/>
    <n v="98"/>
    <n v="8"/>
    <n v="91"/>
    <x v="0"/>
    <d v="2026-06-06T00:00:00"/>
  </r>
  <r>
    <x v="6"/>
    <n v="1007"/>
    <n v="19"/>
    <x v="0"/>
    <n v="8"/>
    <n v="80"/>
    <n v="6.5"/>
    <n v="66"/>
    <x v="2"/>
    <d v="2026-06-06T00:00:00"/>
  </r>
  <r>
    <x v="7"/>
    <n v="1008"/>
    <n v="20"/>
    <x v="1"/>
    <n v="13"/>
    <n v="93"/>
    <n v="7.2"/>
    <n v="82"/>
    <x v="0"/>
    <d v="2026-06-05T00:00:00"/>
  </r>
  <r>
    <x v="8"/>
    <n v="1009"/>
    <n v="21"/>
    <x v="0"/>
    <n v="10"/>
    <n v="87"/>
    <n v="6.9"/>
    <n v="73"/>
    <x v="1"/>
    <d v="2026-06-05T00:00:00"/>
  </r>
  <r>
    <x v="9"/>
    <n v="1010"/>
    <n v="22"/>
    <x v="1"/>
    <n v="6"/>
    <n v="70"/>
    <n v="5.8"/>
    <n v="58"/>
    <x v="2"/>
    <d v="2026-06-03T00:00:00"/>
  </r>
  <r>
    <x v="10"/>
    <n v="1011"/>
    <n v="18"/>
    <x v="0"/>
    <n v="14"/>
    <n v="95"/>
    <n v="7.8"/>
    <n v="86"/>
    <x v="0"/>
    <d v="2026-06-05T00:00:00"/>
  </r>
  <r>
    <x v="11"/>
    <n v="1012"/>
    <n v="19"/>
    <x v="1"/>
    <n v="9"/>
    <n v="83"/>
    <n v="6.4"/>
    <n v="67"/>
    <x v="1"/>
    <d v="2026-06-04T00:00:00"/>
  </r>
  <r>
    <x v="12"/>
    <n v="1013"/>
    <n v="20"/>
    <x v="0"/>
    <n v="17"/>
    <n v="99"/>
    <n v="8.1"/>
    <n v="94"/>
    <x v="0"/>
    <d v="2026-06-05T00:00:00"/>
  </r>
  <r>
    <x v="13"/>
    <n v="1014"/>
    <n v="21"/>
    <x v="1"/>
    <n v="5"/>
    <n v="68"/>
    <n v="5.9"/>
    <n v="54"/>
    <x v="2"/>
    <d v="2026-06-03T00:00:00"/>
  </r>
  <r>
    <x v="14"/>
    <n v="1015"/>
    <n v="22"/>
    <x v="0"/>
    <n v="12"/>
    <n v="90"/>
    <n v="7"/>
    <n v="79"/>
    <x v="1"/>
    <d v="2026-06-05T00:00:00"/>
  </r>
  <r>
    <x v="15"/>
    <n v="1016"/>
    <n v="18"/>
    <x v="1"/>
    <n v="15"/>
    <n v="97"/>
    <n v="7.7"/>
    <n v="89"/>
    <x v="0"/>
    <d v="2026-06-04T00:00:00"/>
  </r>
  <r>
    <x v="16"/>
    <n v="1017"/>
    <n v="19"/>
    <x v="0"/>
    <n v="7"/>
    <n v="76"/>
    <n v="6.1"/>
    <n v="62"/>
    <x v="2"/>
    <d v="2026-06-06T00:00:00"/>
  </r>
  <r>
    <x v="17"/>
    <n v="1018"/>
    <n v="20"/>
    <x v="1"/>
    <n v="11"/>
    <n v="88"/>
    <n v="7"/>
    <n v="74"/>
    <x v="1"/>
    <d v="2026-06-06T00:00:00"/>
  </r>
  <r>
    <x v="18"/>
    <n v="1019"/>
    <n v="21"/>
    <x v="0"/>
    <n v="13"/>
    <n v="91"/>
    <n v="7.4"/>
    <n v="81"/>
    <x v="0"/>
    <d v="2026-06-05T00:00:00"/>
  </r>
  <r>
    <x v="19"/>
    <n v="1020"/>
    <n v="22"/>
    <x v="1"/>
    <n v="8"/>
    <n v="79"/>
    <n v="6.3"/>
    <n v="65"/>
    <x v="2"/>
    <d v="2026-06-05T00:00:00"/>
  </r>
  <r>
    <x v="20"/>
    <n v="1021"/>
    <n v="18"/>
    <x v="0"/>
    <n v="16"/>
    <n v="98"/>
    <n v="8.1999999999999993"/>
    <n v="93"/>
    <x v="0"/>
    <d v="2026-06-03T00:00:00"/>
  </r>
  <r>
    <x v="21"/>
    <n v="1022"/>
    <n v="19"/>
    <x v="1"/>
    <n v="10"/>
    <n v="86"/>
    <n v="6.7"/>
    <n v="71"/>
    <x v="1"/>
    <d v="2026-06-05T00:00:00"/>
  </r>
  <r>
    <x v="22"/>
    <n v="1023"/>
    <n v="20"/>
    <x v="0"/>
    <n v="6"/>
    <n v="72"/>
    <n v="5.7"/>
    <n v="57"/>
    <x v="2"/>
    <d v="2026-06-04T00:00:00"/>
  </r>
  <r>
    <x v="23"/>
    <n v="1024"/>
    <n v="21"/>
    <x v="1"/>
    <n v="12"/>
    <n v="90"/>
    <n v="7.1"/>
    <n v="77"/>
    <x v="0"/>
    <d v="2026-06-05T00:00:00"/>
  </r>
  <r>
    <x v="24"/>
    <n v="1025"/>
    <n v="22"/>
    <x v="0"/>
    <n v="9"/>
    <n v="25"/>
    <n v="6.6"/>
    <n v="68"/>
    <x v="1"/>
    <d v="2026-06-03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F8C60D-89EF-4475-9F08-C57028C2B9E4}" name="PivotTable2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R13:AS17" firstHeaderRow="1" firstDataRow="1" firstDataCol="1"/>
  <pivotFields count="10">
    <pivotField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showAll="0"/>
    <pivotField showAll="0"/>
    <pivotField dataField="1" showAll="0">
      <items count="3">
        <item x="0"/>
        <item x="1"/>
        <item t="default"/>
      </items>
    </pivotField>
    <pivotField showAll="0"/>
    <pivotField numFmtId="1"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numFmtId="164" showAll="0"/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Gender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FF1ACB-2E40-4676-8735-88B3AD97B4A5}" name="PivotTable1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O6:AP10" firstHeaderRow="1" firstDataRow="1" firstDataCol="1"/>
  <pivotFields count="9">
    <pivotField showAll="0"/>
    <pivotField showAll="0"/>
    <pivotField showAll="0">
      <items count="3">
        <item x="0"/>
        <item x="1"/>
        <item t="default"/>
      </items>
    </pivotField>
    <pivotField showAll="0"/>
    <pivotField numFmtId="1" showAll="0"/>
    <pivotField showAll="0"/>
    <pivotField dataField="1" showAll="0"/>
    <pivotField axis="axisRow" showAll="0">
      <items count="4">
        <item x="2"/>
        <item x="1"/>
        <item x="0"/>
        <item t="default"/>
      </items>
    </pivotField>
    <pivotField numFmtId="164"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estScore" fld="6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2BFCD914-8AC4-47C6-AB6E-78CE81997DBD}" name="Table17" displayName="Table17" ref="AA1:AJ31" totalsRowShown="0">
  <autoFilter ref="AA1:AJ31" xr:uid="{2BFCD914-8AC4-47C6-AB6E-78CE81997DBD}"/>
  <tableColumns count="10">
    <tableColumn id="10" xr3:uid="{6CE5E34F-1CE8-41D8-8163-1C56D61B9BE9}" name="Sno"/>
    <tableColumn id="1" xr3:uid="{A39E47FA-7E87-4EE8-AFD5-5FF2F062FE94}" name="StudentID"/>
    <tableColumn id="2" xr3:uid="{2DD9BBFA-4378-4E7B-A5C2-9FFFB7035AE8}" name="Age"/>
    <tableColumn id="3" xr3:uid="{4E1C93A9-46C5-480F-99EA-73543B833E30}" name="Gender"/>
    <tableColumn id="4" xr3:uid="{861226D8-A199-487B-9698-4B3CCE59CF4E}" name="StudyHoursPerWeek"/>
    <tableColumn id="5" xr3:uid="{0EB47F78-840A-4F63-BE75-3EF90979DA81}" name="AttendancePct" dataDxfId="24"/>
    <tableColumn id="6" xr3:uid="{CECB2E01-D906-4848-965C-7269D02736E3}" name="SleepHours"/>
    <tableColumn id="7" xr3:uid="{F945B377-B387-4EF1-9123-993C19537849}" name="TestScore"/>
    <tableColumn id="8" xr3:uid="{8B3B7576-E94B-4A8D-BFC8-D9231EC7D8EC}" name="Department"/>
    <tableColumn id="9" xr3:uid="{7355C652-BF96-475B-A420-C5424E5B50F5}" name="Date" dataDxfId="2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5EDC68-C247-451E-8E3C-9F9B9BC0E9B5}" name="Table1" displayName="Table1" ref="K4:L8" totalsRowShown="0">
  <autoFilter ref="K4:L8" xr:uid="{1E5EDC68-C247-451E-8E3C-9F9B9BC0E9B5}"/>
  <tableColumns count="2">
    <tableColumn id="1" xr3:uid="{36F4E616-61AB-4510-B99D-4BDBCCE51827}" name="Column1"/>
    <tableColumn id="2" xr3:uid="{3C2EE68C-24C1-4413-B1D5-6178FF733525}" name="Column2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66363A9-8C8B-4D91-893E-882E737071E2}" name="Table2" displayName="Table2" ref="G4:I7" totalsRowShown="0">
  <autoFilter ref="G4:I7" xr:uid="{366363A9-8C8B-4D91-893E-882E737071E2}"/>
  <tableColumns count="3">
    <tableColumn id="1" xr3:uid="{A116F80B-9B68-4C55-BDE8-3647E924EA14}" name="Column1"/>
    <tableColumn id="2" xr3:uid="{AAA4C2E4-9DB8-417F-AA04-6233440A7EA3}" name="Column2"/>
    <tableColumn id="3" xr3:uid="{B2ADF050-F479-46E4-9C61-FD6E970832CC}" name="Column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E118ECB-B833-43A6-9E32-85E62ABB98A0}" name="Table3" displayName="Table3" ref="M4:O7" totalsRowShown="0">
  <autoFilter ref="M4:O7" xr:uid="{DE118ECB-B833-43A6-9E32-85E62ABB98A0}"/>
  <tableColumns count="3">
    <tableColumn id="1" xr3:uid="{74A53475-248F-475F-A70C-5B13BD2D3F48}" name="Column1"/>
    <tableColumn id="2" xr3:uid="{82FF2A3A-C7A8-4A2F-BF52-ACA817D8A789}" name="Column2"/>
    <tableColumn id="3" xr3:uid="{B1A594EB-FC76-4668-8DFA-8D71DA2BEF7A}" name="Column3"/>
  </tableColumns>
  <tableStyleInfo name="TableStyleLight1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48101DA-9FDF-4B58-9E4F-A4A4073283F3}" name="Table4" displayName="Table4" ref="L10:P17" totalsRowShown="0">
  <autoFilter ref="L10:P17" xr:uid="{448101DA-9FDF-4B58-9E4F-A4A4073283F3}"/>
  <tableColumns count="5">
    <tableColumn id="1" xr3:uid="{19A8F837-9977-46C1-9C29-56C7BF62C19C}" name="Column1"/>
    <tableColumn id="2" xr3:uid="{D2B012BF-0B9C-4B6E-972E-3749E6217A1F}" name="Column2"/>
    <tableColumn id="3" xr3:uid="{4502B382-2F38-4C48-A450-4E6FE965C404}" name="Column3"/>
    <tableColumn id="4" xr3:uid="{1B7B9580-034A-4339-8A6B-D03D20C076D5}" name="Column4"/>
    <tableColumn id="5" xr3:uid="{CF7AA54D-228C-4002-AF41-0E3C768953D2}" name="Column5"/>
  </tableColumns>
  <tableStyleInfo name="TableStyleMedium1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971CF5D-F152-4445-A495-4A6DB68494E6}" name="Table5" displayName="Table5" ref="E17:H27" totalsRowShown="0">
  <autoFilter ref="E17:H27" xr:uid="{F971CF5D-F152-4445-A495-4A6DB68494E6}"/>
  <tableColumns count="4">
    <tableColumn id="1" xr3:uid="{7E81C7FA-38B9-405F-9E06-2CAAE0ACBD60}" name="Number"/>
    <tableColumn id="2" xr3:uid="{4BF4B385-C77A-4D4F-996A-E5B564F39353}" name="Description"/>
    <tableColumn id="3" xr3:uid="{F530EF87-C720-44A1-A227-7187A5D43E24}" name="Type"/>
    <tableColumn id="4" xr3:uid="{57AD224E-A922-4C77-A9B9-83493F7137D5}" name="Value"/>
  </tableColumns>
  <tableStyleInfo name="TableStyleMedium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A9F558B-DBA3-40C6-A3C5-9CF851107A5E}" name="Table6" displayName="Table6" ref="J25:T28" totalsRowShown="0">
  <autoFilter ref="J25:T28" xr:uid="{5A9F558B-DBA3-40C6-A3C5-9CF851107A5E}"/>
  <tableColumns count="11">
    <tableColumn id="1" xr3:uid="{AD2C7051-0284-4DEB-883D-D3EE00049E62}" name="Number"/>
    <tableColumn id="2" xr3:uid="{68FB7D43-C4D9-4370-B97A-683E8DB7DE32}" name="1"/>
    <tableColumn id="3" xr3:uid="{4CA0C17E-8EC5-44EE-8088-69241B63A760}" name="2"/>
    <tableColumn id="4" xr3:uid="{E9133917-BA2B-4706-92E5-B8524F854380}" name="3"/>
    <tableColumn id="5" xr3:uid="{16C7DDEA-04FE-4656-A507-731164539A31}" name="4"/>
    <tableColumn id="6" xr3:uid="{EC963952-3320-4D39-9D5B-6A2B296C97D7}" name="5"/>
    <tableColumn id="7" xr3:uid="{411EF269-5EFD-4FE9-B8EA-2C31207D5BA8}" name="6"/>
    <tableColumn id="8" xr3:uid="{175281EB-9FC4-4EE9-B22C-5ACE8EC09B9B}" name="7"/>
    <tableColumn id="9" xr3:uid="{A0B557EB-152A-4883-8E42-FF3EDFD64D4C}" name="8"/>
    <tableColumn id="10" xr3:uid="{F04244CD-F2FB-464B-8419-EEA95C6F8033}" name="9"/>
    <tableColumn id="11" xr3:uid="{9D7A5ECC-195F-40CF-B358-8BD3194A3EA2}" name="10"/>
  </tableColumns>
  <tableStyleInfo name="TableStyleLight2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E3ECAE0-D2E7-491F-BAF6-CAECA5D9D47F}" name="Table7" displayName="Table7" ref="J36:K39" totalsRowShown="0">
  <autoFilter ref="J36:K39" xr:uid="{CE3ECAE0-D2E7-491F-BAF6-CAECA5D9D47F}"/>
  <tableColumns count="2">
    <tableColumn id="1" xr3:uid="{7934187E-6939-408B-985B-F3A372775611}" name="Fruits"/>
    <tableColumn id="2" xr3:uid="{9CD93689-E3AE-4FD7-86A6-4EB80CD550A7}" name="Value"/>
  </tableColumns>
  <tableStyleInfo name="TableStyleLight13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77E6B81-E392-4E5F-A4DF-A007CF4C3817}" name="Table8" displayName="Table8" ref="F30:G34" totalsRowShown="0">
  <autoFilter ref="F30:G34" xr:uid="{277E6B81-E392-4E5F-A4DF-A007CF4C3817}"/>
  <tableColumns count="2">
    <tableColumn id="1" xr3:uid="{0F93776F-3370-4AB9-85EB-DBA1A6EB5F3E}" name="Column1"/>
    <tableColumn id="2" xr3:uid="{8DA2B46E-31C4-4E42-9EF2-98289A1CC7B9}" name="Column2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5708C6C-353D-4015-BBC5-C7717CAC12D2}" name="Table9" displayName="Table9" ref="J42:K44" totalsRowShown="0">
  <autoFilter ref="J42:K44" xr:uid="{75708C6C-353D-4015-BBC5-C7717CAC12D2}"/>
  <tableColumns count="2">
    <tableColumn id="1" xr3:uid="{9839B447-E4F8-4B22-9684-DFBC5DFB4C07}" name="Column1"/>
    <tableColumn id="2" xr3:uid="{CB06FE9D-9F29-450F-A294-C6B8D2FEC04F}" name="Column2" dataDxfId="22">
      <calculatedColumnFormula>MATCH(J43,J37:J39,1)</calculatedColumnFormula>
    </tableColumn>
  </tableColumns>
  <tableStyleInfo name="TableStyleLight1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5C63175-66D4-4B95-A68D-AD7DAFF90E19}" name="Table10" displayName="Table10" ref="J31:K34" totalsRowShown="0">
  <autoFilter ref="J31:K34" xr:uid="{55C63175-66D4-4B95-A68D-AD7DAFF90E19}"/>
  <tableColumns count="2">
    <tableColumn id="1" xr3:uid="{4B7F6420-4B5A-433B-AF45-9CF3CF9A3C1B}" name="Column1"/>
    <tableColumn id="2" xr3:uid="{17223A37-06EF-4C0E-89E9-BD6FC175F38F}" name="Column2"/>
  </tableColumns>
  <tableStyleInfo name="TableStyleLight6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2D6E0C1-45DF-4E9C-8764-651C4FDB6A1B}" name="Table11" displayName="Table11" ref="E37:F40" totalsRowCount="1">
  <autoFilter ref="E37:F39" xr:uid="{32D6E0C1-45DF-4E9C-8764-651C4FDB6A1B}"/>
  <tableColumns count="2">
    <tableColumn id="1" xr3:uid="{80292359-138F-4FDC-8042-03BFE56D8134}" name="Column1"/>
    <tableColumn id="2" xr3:uid="{7306C8A6-BD33-4637-A14B-9091FEBB186D}" name="Column2">
      <calculatedColumnFormula>INDEX(F17:H26,3,3)</calculatedColumnFormula>
    </tableColumn>
  </tableColumns>
  <tableStyleInfo name="TableStyleLight1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6D23AEC7-BB81-47EE-A581-EA940653D7F7}" name="Table12" displayName="Table12" ref="E47:G54" totalsRowShown="0">
  <autoFilter ref="E47:G54" xr:uid="{6D23AEC7-BB81-47EE-A581-EA940653D7F7}"/>
  <tableColumns count="3">
    <tableColumn id="1" xr3:uid="{25016839-FA58-4261-BA9F-881DBC01AF28}" name="Name"/>
    <tableColumn id="2" xr3:uid="{1E07C8DA-F0BD-4A03-9AE7-0AF9BF69555E}" name="Marks"/>
    <tableColumn id="3" xr3:uid="{E396C68F-0D29-4A5B-A6E8-26F951B3BCCC}" name="Result">
      <calculatedColumnFormula>IF(F48&lt;35,"Fail","Pass")</calculatedColumnFormula>
    </tableColumn>
  </tableColumns>
  <tableStyleInfo name="TableStyleMedium3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9FA1AE4-07E8-4B83-BBC3-5B0C11906E13}" name="StatisticalDataset" displayName="StatisticalDataset" ref="V1:AC31" totalsRowShown="0" headerRowDxfId="21" dataDxfId="20">
  <autoFilter ref="V1:AC31" xr:uid="{49FA1AE4-07E8-4B83-BBC3-5B0C11906E13}"/>
  <tableColumns count="8">
    <tableColumn id="1" xr3:uid="{14D47D12-3184-440B-A187-42FDEA39CAB7}" name="StudentID" dataDxfId="19"/>
    <tableColumn id="2" xr3:uid="{19EB2A54-921E-4BFD-A38E-9C95CB6C8FCE}" name="Age" dataDxfId="18"/>
    <tableColumn id="3" xr3:uid="{50AE5DE0-FB30-4C94-AC17-036C328871D7}" name="Gender" dataDxfId="17"/>
    <tableColumn id="4" xr3:uid="{CD00E9E4-171A-43CC-AF22-A6B6AD56332A}" name="StudyHoursPerWeek" dataDxfId="16"/>
    <tableColumn id="5" xr3:uid="{811C6413-3EAA-4CA6-9A59-43C6CC861E15}" name="AttendancePct" dataDxfId="15"/>
    <tableColumn id="6" xr3:uid="{2EF25E21-E382-47C2-80A5-C1B14E651671}" name="SleepHours" dataDxfId="14"/>
    <tableColumn id="7" xr3:uid="{8B79AB12-F22D-43C1-A6C6-D2E2D1F016C4}" name="TestScore" dataDxfId="13"/>
    <tableColumn id="8" xr3:uid="{317D2FEE-AE7E-4D6F-AB80-C3ADF7F5A6A6}" name="Department" dataDxfId="12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D12296C-B767-4D3E-A979-5F96755E182B}" name="Table14" displayName="Table14" ref="I77:J90" totalsRowShown="0">
  <autoFilter ref="I77:J90" xr:uid="{CD12296C-B767-4D3E-A979-5F96755E182B}"/>
  <tableColumns count="2">
    <tableColumn id="1" xr3:uid="{B6139D03-F902-4F01-8B01-ABB8540ACD54}" name="Column1"/>
    <tableColumn id="2" xr3:uid="{05CE50D0-F2B6-4C5B-929F-5AFA39245436}" name="Column2"/>
  </tableColumns>
  <tableStyleInfo name="TableStyleMedium20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132428D0-4D74-4705-B7D6-B06F5A2A72CD}" name="Table18" displayName="Table18" ref="E195:G199" headerRowCount="0">
  <tableColumns count="3">
    <tableColumn id="1" xr3:uid="{D007325C-797A-4475-A34A-E479CB62A44F}" name="Column1" totalsRowLabel="Total"/>
    <tableColumn id="2" xr3:uid="{757BC367-F0BE-4DCE-8EA9-631FECBB5B34}" name="Column2"/>
    <tableColumn id="3" xr3:uid="{C8FA9210-7708-42BC-82BF-950953FE6D7B}" name="Column3" totalsRowFunction="count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D449090-2E5A-46C1-B52F-034193A61775}">
  <we:reference id="wa200005502" version="1.0.0.13" store="en-US" storeType="OMEX"/>
  <we:alternateReferences>
    <we:reference id="wa200005502" version="1.0.0.13" store="wa200005502" storeType="OMEX"/>
  </we:alternateReferences>
  <we:properties>
    <we:property name="docId" value="&quot;KtlfpyHV4Dd6QKAyoNtMu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2" Type="http://schemas.openxmlformats.org/officeDocument/2006/relationships/table" Target="../tables/table2.xml"/><Relationship Id="rId16" Type="http://schemas.openxmlformats.org/officeDocument/2006/relationships/table" Target="../tables/table16.xml"/><Relationship Id="rId1" Type="http://schemas.openxmlformats.org/officeDocument/2006/relationships/drawing" Target="../drawings/drawing2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5" Type="http://schemas.openxmlformats.org/officeDocument/2006/relationships/table" Target="../tables/table1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F0616-D87B-4C3E-938E-A55E8F80C6EB}">
  <dimension ref="A1:AS36"/>
  <sheetViews>
    <sheetView topLeftCell="AE1" workbookViewId="0">
      <selection activeCell="D22" sqref="D22"/>
    </sheetView>
  </sheetViews>
  <sheetFormatPr defaultRowHeight="15"/>
  <cols>
    <col min="1" max="1" width="14.140625" customWidth="1"/>
    <col min="2" max="2" width="36.7109375" customWidth="1"/>
    <col min="3" max="3" width="23.28515625" customWidth="1"/>
    <col min="4" max="5" width="11.5703125" customWidth="1"/>
    <col min="6" max="6" width="18.28515625" customWidth="1"/>
    <col min="7" max="7" width="16.140625" customWidth="1"/>
    <col min="8" max="8" width="16" customWidth="1"/>
    <col min="11" max="11" width="18" bestFit="1" customWidth="1"/>
    <col min="13" max="13" width="11.5703125" bestFit="1" customWidth="1"/>
    <col min="27" max="27" width="12" customWidth="1"/>
    <col min="28" max="28" width="9.140625" customWidth="1"/>
    <col min="29" max="29" width="9.85546875" customWidth="1"/>
    <col min="30" max="30" width="21.5703125" customWidth="1"/>
    <col min="31" max="31" width="16.140625" customWidth="1"/>
    <col min="32" max="32" width="13.28515625" customWidth="1"/>
    <col min="33" max="33" width="11.85546875" customWidth="1"/>
    <col min="34" max="34" width="14.7109375" customWidth="1"/>
    <col min="35" max="36" width="12" bestFit="1" customWidth="1"/>
    <col min="40" max="41" width="13.140625" bestFit="1" customWidth="1"/>
    <col min="42" max="42" width="16.28515625" bestFit="1" customWidth="1"/>
    <col min="44" max="44" width="13.140625" bestFit="1" customWidth="1"/>
    <col min="45" max="45" width="15.85546875" bestFit="1" customWidth="1"/>
    <col min="46" max="46" width="5.5703125" bestFit="1" customWidth="1"/>
    <col min="47" max="47" width="11.28515625" bestFit="1" customWidth="1"/>
    <col min="48" max="74" width="5" bestFit="1" customWidth="1"/>
    <col min="75" max="75" width="11.28515625" bestFit="1" customWidth="1"/>
  </cols>
  <sheetData>
    <row r="1" spans="1:45" ht="17.25" thickTop="1" thickBot="1">
      <c r="A1" s="35" t="s">
        <v>112</v>
      </c>
      <c r="B1" s="36" t="s">
        <v>71</v>
      </c>
      <c r="C1" s="37" t="s">
        <v>72</v>
      </c>
      <c r="D1" s="38" t="s">
        <v>73</v>
      </c>
      <c r="E1" s="39" t="s">
        <v>74</v>
      </c>
      <c r="F1" s="40" t="s">
        <v>75</v>
      </c>
      <c r="G1" s="44" t="s">
        <v>62</v>
      </c>
      <c r="H1" s="48" t="s">
        <v>76</v>
      </c>
      <c r="I1" s="16"/>
      <c r="AA1" t="s">
        <v>112</v>
      </c>
      <c r="AB1" t="s">
        <v>77</v>
      </c>
      <c r="AC1" t="s">
        <v>62</v>
      </c>
      <c r="AD1" t="s">
        <v>75</v>
      </c>
      <c r="AE1" t="s">
        <v>78</v>
      </c>
      <c r="AF1" t="s">
        <v>79</v>
      </c>
      <c r="AG1" t="s">
        <v>80</v>
      </c>
      <c r="AH1" t="s">
        <v>81</v>
      </c>
      <c r="AI1" t="s">
        <v>82</v>
      </c>
      <c r="AJ1" t="s">
        <v>133</v>
      </c>
    </row>
    <row r="2" spans="1:45" ht="54.75" customHeight="1" thickTop="1" thickBot="1">
      <c r="A2" s="34">
        <v>1</v>
      </c>
      <c r="B2" s="33">
        <v>100001</v>
      </c>
      <c r="C2" s="29" t="s">
        <v>88</v>
      </c>
      <c r="D2" s="28">
        <v>729</v>
      </c>
      <c r="E2" s="27" t="s">
        <v>89</v>
      </c>
      <c r="F2" s="25" t="s">
        <v>83</v>
      </c>
      <c r="G2" s="42">
        <v>19</v>
      </c>
      <c r="H2" s="60">
        <v>-194164</v>
      </c>
      <c r="I2" s="55"/>
      <c r="AA2">
        <v>1</v>
      </c>
      <c r="AB2">
        <v>1001</v>
      </c>
      <c r="AC2">
        <v>18</v>
      </c>
      <c r="AD2" t="s">
        <v>83</v>
      </c>
      <c r="AE2">
        <v>12</v>
      </c>
      <c r="AF2" s="7">
        <v>92</v>
      </c>
      <c r="AG2">
        <v>7.5</v>
      </c>
      <c r="AH2">
        <v>78</v>
      </c>
      <c r="AI2" t="s">
        <v>84</v>
      </c>
      <c r="AJ2" s="57">
        <f ca="1">TODAY()</f>
        <v>46181</v>
      </c>
    </row>
    <row r="3" spans="1:45" ht="23.25" customHeight="1" thickTop="1" thickBot="1">
      <c r="A3" s="34">
        <v>2</v>
      </c>
      <c r="B3" s="33">
        <v>100002</v>
      </c>
      <c r="C3" s="30" t="s">
        <v>90</v>
      </c>
      <c r="D3" s="28">
        <v>744</v>
      </c>
      <c r="E3" s="27" t="s">
        <v>91</v>
      </c>
      <c r="F3" s="26" t="s">
        <v>85</v>
      </c>
      <c r="G3" s="42">
        <v>53</v>
      </c>
      <c r="H3" s="60">
        <v>0</v>
      </c>
      <c r="AA3">
        <v>2</v>
      </c>
      <c r="AB3">
        <v>1002</v>
      </c>
      <c r="AC3">
        <v>19</v>
      </c>
      <c r="AD3" t="s">
        <v>85</v>
      </c>
      <c r="AE3">
        <v>9</v>
      </c>
      <c r="AF3" s="7">
        <v>85</v>
      </c>
      <c r="AG3">
        <v>6.8</v>
      </c>
      <c r="AH3">
        <v>69</v>
      </c>
      <c r="AI3" t="s">
        <v>86</v>
      </c>
      <c r="AJ3" s="57">
        <f ca="1">TODAY()+1</f>
        <v>46182</v>
      </c>
    </row>
    <row r="4" spans="1:45" ht="18" customHeight="1" thickTop="1" thickBot="1">
      <c r="A4" s="34">
        <v>3</v>
      </c>
      <c r="B4" s="33">
        <v>100003</v>
      </c>
      <c r="C4" s="31" t="s">
        <v>92</v>
      </c>
      <c r="D4" s="28">
        <v>789</v>
      </c>
      <c r="E4" s="27" t="s">
        <v>93</v>
      </c>
      <c r="F4" s="26" t="s">
        <v>83</v>
      </c>
      <c r="G4" s="42">
        <v>30</v>
      </c>
      <c r="H4" s="60">
        <v>178650</v>
      </c>
      <c r="K4" t="s">
        <v>133</v>
      </c>
      <c r="M4" t="s">
        <v>134</v>
      </c>
      <c r="AA4">
        <v>3</v>
      </c>
      <c r="AB4">
        <v>1003</v>
      </c>
      <c r="AC4">
        <v>20</v>
      </c>
      <c r="AD4" t="s">
        <v>83</v>
      </c>
      <c r="AE4">
        <v>15</v>
      </c>
      <c r="AF4" s="7">
        <v>96</v>
      </c>
      <c r="AG4">
        <v>7.9</v>
      </c>
      <c r="AH4">
        <v>88</v>
      </c>
      <c r="AI4" t="s">
        <v>84</v>
      </c>
      <c r="AJ4" s="57">
        <f ca="1">TODAY()-1</f>
        <v>46180</v>
      </c>
    </row>
    <row r="5" spans="1:45" ht="16.5" thickTop="1" thickBot="1">
      <c r="A5" s="34">
        <v>4</v>
      </c>
      <c r="B5" s="33">
        <v>100004</v>
      </c>
      <c r="C5" s="32" t="s">
        <v>94</v>
      </c>
      <c r="D5" s="28">
        <v>576</v>
      </c>
      <c r="E5" s="27" t="s">
        <v>95</v>
      </c>
      <c r="F5" s="26" t="s">
        <v>83</v>
      </c>
      <c r="G5" s="42">
        <v>0</v>
      </c>
      <c r="H5" s="60">
        <v>25710</v>
      </c>
      <c r="K5" s="22">
        <v>38604</v>
      </c>
      <c r="M5" s="17">
        <v>0.60416666666666663</v>
      </c>
      <c r="R5">
        <v>5000</v>
      </c>
      <c r="S5">
        <v>6000</v>
      </c>
      <c r="T5" s="41">
        <v>0.16</v>
      </c>
      <c r="U5">
        <f>S5*0.16</f>
        <v>960</v>
      </c>
      <c r="V5">
        <f>S5-U5</f>
        <v>5040</v>
      </c>
      <c r="W5">
        <v>0</v>
      </c>
      <c r="AA5">
        <v>4</v>
      </c>
      <c r="AB5">
        <v>1004</v>
      </c>
      <c r="AC5">
        <v>21</v>
      </c>
      <c r="AD5" t="s">
        <v>85</v>
      </c>
      <c r="AE5">
        <v>7</v>
      </c>
      <c r="AF5" s="7">
        <v>74</v>
      </c>
      <c r="AG5">
        <v>6.2</v>
      </c>
      <c r="AH5">
        <v>61</v>
      </c>
      <c r="AI5" t="s">
        <v>87</v>
      </c>
      <c r="AJ5" s="57">
        <v>46178</v>
      </c>
    </row>
    <row r="6" spans="1:45" ht="16.5" thickTop="1" thickBot="1">
      <c r="A6" s="34">
        <v>5</v>
      </c>
      <c r="B6" s="33">
        <v>100005</v>
      </c>
      <c r="C6" s="32" t="s">
        <v>96</v>
      </c>
      <c r="D6" s="28">
        <v>591</v>
      </c>
      <c r="E6" s="27" t="s">
        <v>89</v>
      </c>
      <c r="F6" s="26" t="s">
        <v>85</v>
      </c>
      <c r="G6" s="42">
        <v>28</v>
      </c>
      <c r="H6" s="60">
        <v>156201</v>
      </c>
      <c r="K6" s="22">
        <v>38661</v>
      </c>
      <c r="M6" s="19">
        <v>0.9375</v>
      </c>
      <c r="AA6">
        <v>5</v>
      </c>
      <c r="AB6">
        <v>1005</v>
      </c>
      <c r="AC6">
        <v>22</v>
      </c>
      <c r="AD6" t="s">
        <v>83</v>
      </c>
      <c r="AE6">
        <v>11</v>
      </c>
      <c r="AF6" s="7">
        <v>89</v>
      </c>
      <c r="AG6">
        <v>7.1</v>
      </c>
      <c r="AH6">
        <v>75</v>
      </c>
      <c r="AI6" t="s">
        <v>86</v>
      </c>
      <c r="AJ6" s="57">
        <f ca="1">TODAY()</f>
        <v>46181</v>
      </c>
      <c r="AO6" s="58" t="s">
        <v>151</v>
      </c>
      <c r="AP6" t="s">
        <v>153</v>
      </c>
    </row>
    <row r="7" spans="1:45" ht="16.5" thickTop="1" thickBot="1">
      <c r="A7" s="34">
        <v>6</v>
      </c>
      <c r="B7" s="33">
        <v>100006</v>
      </c>
      <c r="C7" s="32" t="s">
        <v>97</v>
      </c>
      <c r="D7" s="28">
        <v>692</v>
      </c>
      <c r="E7" s="27" t="s">
        <v>91</v>
      </c>
      <c r="F7" s="26" t="s">
        <v>83</v>
      </c>
      <c r="G7" s="42">
        <v>29</v>
      </c>
      <c r="H7" s="60">
        <v>213952</v>
      </c>
      <c r="R7" t="str">
        <f>IF(V5&gt;R5,"Profit","Loss")</f>
        <v>Profit</v>
      </c>
      <c r="S7" t="str">
        <f>IF(W5&gt;0,"Profit",IF(W5&lt;0,"Loss","NO profit and Loss"))</f>
        <v>NO profit and Loss</v>
      </c>
      <c r="AA7">
        <v>6</v>
      </c>
      <c r="AB7">
        <v>1006</v>
      </c>
      <c r="AC7">
        <v>18</v>
      </c>
      <c r="AD7" t="s">
        <v>85</v>
      </c>
      <c r="AE7">
        <v>16</v>
      </c>
      <c r="AF7" s="7">
        <v>98</v>
      </c>
      <c r="AG7">
        <v>8</v>
      </c>
      <c r="AH7">
        <v>91</v>
      </c>
      <c r="AI7" t="s">
        <v>84</v>
      </c>
      <c r="AJ7" s="57">
        <f ca="1">TODAY()+2</f>
        <v>46183</v>
      </c>
      <c r="AO7" s="59" t="s">
        <v>87</v>
      </c>
      <c r="AP7">
        <v>538</v>
      </c>
    </row>
    <row r="8" spans="1:45" ht="16.5" thickTop="1" thickBot="1">
      <c r="A8" s="34">
        <v>7</v>
      </c>
      <c r="B8" s="33">
        <v>100007</v>
      </c>
      <c r="C8" s="32" t="s">
        <v>98</v>
      </c>
      <c r="D8" s="28">
        <v>437</v>
      </c>
      <c r="E8" s="27" t="s">
        <v>93</v>
      </c>
      <c r="F8" s="26" t="s">
        <v>85</v>
      </c>
      <c r="G8" s="43">
        <v>58</v>
      </c>
      <c r="H8" s="60">
        <v>176103</v>
      </c>
      <c r="AA8">
        <v>7</v>
      </c>
      <c r="AB8">
        <v>1007</v>
      </c>
      <c r="AC8">
        <v>19</v>
      </c>
      <c r="AD8" t="s">
        <v>83</v>
      </c>
      <c r="AE8">
        <v>8</v>
      </c>
      <c r="AF8" s="7">
        <v>80</v>
      </c>
      <c r="AG8">
        <v>6.5</v>
      </c>
      <c r="AH8">
        <v>66</v>
      </c>
      <c r="AI8" t="s">
        <v>87</v>
      </c>
      <c r="AJ8" s="57">
        <f ca="1">TODAY()+2</f>
        <v>46183</v>
      </c>
      <c r="AO8" s="59" t="s">
        <v>86</v>
      </c>
      <c r="AP8">
        <v>652</v>
      </c>
    </row>
    <row r="9" spans="1:45" ht="16.5" thickTop="1" thickBot="1">
      <c r="A9" s="34">
        <v>8</v>
      </c>
      <c r="B9" s="33">
        <v>100008</v>
      </c>
      <c r="C9" s="32" t="s">
        <v>99</v>
      </c>
      <c r="D9" s="28">
        <v>416</v>
      </c>
      <c r="E9" s="27" t="s">
        <v>95</v>
      </c>
      <c r="F9" s="26" t="s">
        <v>83</v>
      </c>
      <c r="G9" s="23">
        <v>46</v>
      </c>
      <c r="H9" s="60">
        <v>57283</v>
      </c>
      <c r="K9" t="s">
        <v>135</v>
      </c>
      <c r="M9" s="21"/>
      <c r="AA9">
        <v>8</v>
      </c>
      <c r="AB9">
        <v>1008</v>
      </c>
      <c r="AC9">
        <v>20</v>
      </c>
      <c r="AD9" t="s">
        <v>85</v>
      </c>
      <c r="AE9">
        <v>13</v>
      </c>
      <c r="AF9" s="7">
        <v>93</v>
      </c>
      <c r="AG9">
        <v>7.2</v>
      </c>
      <c r="AH9">
        <v>82</v>
      </c>
      <c r="AI9" t="s">
        <v>84</v>
      </c>
      <c r="AJ9" s="57">
        <f ca="1">TODAY()+1</f>
        <v>46182</v>
      </c>
      <c r="AO9" s="59" t="s">
        <v>84</v>
      </c>
      <c r="AP9">
        <v>1027</v>
      </c>
    </row>
    <row r="10" spans="1:45" ht="16.5" thickTop="1" thickBot="1">
      <c r="A10" s="34">
        <v>9</v>
      </c>
      <c r="B10" s="33">
        <v>100009</v>
      </c>
      <c r="C10" s="32" t="s">
        <v>100</v>
      </c>
      <c r="D10" s="28">
        <v>368</v>
      </c>
      <c r="E10" s="27" t="s">
        <v>89</v>
      </c>
      <c r="F10" s="26" t="s">
        <v>85</v>
      </c>
      <c r="G10" s="23">
        <v>18</v>
      </c>
      <c r="H10" s="60">
        <v>227626</v>
      </c>
      <c r="K10" s="20">
        <v>0.81330000000000002</v>
      </c>
      <c r="AA10">
        <v>9</v>
      </c>
      <c r="AB10">
        <v>1009</v>
      </c>
      <c r="AC10">
        <v>21</v>
      </c>
      <c r="AD10" t="s">
        <v>83</v>
      </c>
      <c r="AE10">
        <v>10</v>
      </c>
      <c r="AF10" s="7">
        <v>87</v>
      </c>
      <c r="AG10">
        <v>6.9</v>
      </c>
      <c r="AH10">
        <v>73</v>
      </c>
      <c r="AI10" t="s">
        <v>86</v>
      </c>
      <c r="AJ10" s="57">
        <f ca="1">TODAY()+1</f>
        <v>46182</v>
      </c>
      <c r="AO10" s="59" t="s">
        <v>152</v>
      </c>
      <c r="AP10">
        <v>2217</v>
      </c>
    </row>
    <row r="11" spans="1:45" ht="16.5" thickTop="1" thickBot="1">
      <c r="A11" s="34">
        <v>10</v>
      </c>
      <c r="B11" s="33">
        <v>100010</v>
      </c>
      <c r="C11" s="32" t="s">
        <v>101</v>
      </c>
      <c r="D11" s="28">
        <v>476</v>
      </c>
      <c r="E11" s="27" t="s">
        <v>91</v>
      </c>
      <c r="F11" s="26" t="s">
        <v>85</v>
      </c>
      <c r="G11" s="23">
        <v>39</v>
      </c>
      <c r="H11" s="60">
        <v>260233</v>
      </c>
      <c r="K11" s="18">
        <v>83.33</v>
      </c>
      <c r="AA11">
        <v>10</v>
      </c>
      <c r="AB11">
        <v>1010</v>
      </c>
      <c r="AC11">
        <v>22</v>
      </c>
      <c r="AD11" t="s">
        <v>85</v>
      </c>
      <c r="AE11">
        <v>6</v>
      </c>
      <c r="AF11" s="7">
        <v>70</v>
      </c>
      <c r="AG11">
        <v>5.8</v>
      </c>
      <c r="AH11">
        <v>58</v>
      </c>
      <c r="AI11" t="s">
        <v>87</v>
      </c>
      <c r="AJ11" s="57">
        <f ca="1">TODAY()-1</f>
        <v>46180</v>
      </c>
    </row>
    <row r="12" spans="1:45" ht="16.5" thickTop="1" thickBot="1">
      <c r="A12" s="34">
        <v>11</v>
      </c>
      <c r="B12" s="33">
        <v>100011</v>
      </c>
      <c r="C12" s="32" t="s">
        <v>102</v>
      </c>
      <c r="D12" s="28">
        <v>574</v>
      </c>
      <c r="E12" s="27" t="s">
        <v>93</v>
      </c>
      <c r="F12" s="26" t="s">
        <v>83</v>
      </c>
      <c r="G12" s="23">
        <v>30</v>
      </c>
      <c r="H12" s="60">
        <v>168272</v>
      </c>
      <c r="AA12">
        <v>11</v>
      </c>
      <c r="AB12">
        <v>1011</v>
      </c>
      <c r="AC12">
        <v>18</v>
      </c>
      <c r="AD12" t="s">
        <v>83</v>
      </c>
      <c r="AE12">
        <v>14</v>
      </c>
      <c r="AF12" s="7">
        <v>95</v>
      </c>
      <c r="AG12">
        <v>7.8</v>
      </c>
      <c r="AH12">
        <v>86</v>
      </c>
      <c r="AI12" t="s">
        <v>84</v>
      </c>
      <c r="AJ12" s="57">
        <f ca="1">TODAY()+1</f>
        <v>46182</v>
      </c>
    </row>
    <row r="13" spans="1:45" ht="16.5" thickTop="1" thickBot="1">
      <c r="A13" s="34">
        <v>12</v>
      </c>
      <c r="B13" s="33">
        <v>100012</v>
      </c>
      <c r="C13" s="32" t="s">
        <v>103</v>
      </c>
      <c r="D13" s="28">
        <v>797</v>
      </c>
      <c r="E13" s="27" t="s">
        <v>95</v>
      </c>
      <c r="F13" s="26" t="s">
        <v>83</v>
      </c>
      <c r="G13" s="24">
        <v>27</v>
      </c>
      <c r="H13" s="60">
        <v>68503</v>
      </c>
      <c r="M13">
        <v>2500</v>
      </c>
      <c r="N13">
        <v>25</v>
      </c>
      <c r="O13" s="41">
        <v>0.55000000000000004</v>
      </c>
      <c r="AA13">
        <v>12</v>
      </c>
      <c r="AB13">
        <v>1012</v>
      </c>
      <c r="AC13">
        <v>19</v>
      </c>
      <c r="AD13" t="s">
        <v>85</v>
      </c>
      <c r="AE13">
        <v>9</v>
      </c>
      <c r="AF13" s="7">
        <v>83</v>
      </c>
      <c r="AG13">
        <v>6.4</v>
      </c>
      <c r="AH13">
        <v>67</v>
      </c>
      <c r="AI13" t="s">
        <v>86</v>
      </c>
      <c r="AJ13" s="57">
        <f ca="1">TODAY()</f>
        <v>46181</v>
      </c>
      <c r="AR13" s="58" t="s">
        <v>151</v>
      </c>
      <c r="AS13" t="s">
        <v>150</v>
      </c>
    </row>
    <row r="14" spans="1:45" ht="16.5" thickTop="1" thickBot="1">
      <c r="A14" s="34">
        <v>13</v>
      </c>
      <c r="B14" s="33">
        <v>100013</v>
      </c>
      <c r="C14" s="32" t="s">
        <v>104</v>
      </c>
      <c r="D14" s="28">
        <v>493</v>
      </c>
      <c r="E14" s="27" t="s">
        <v>89</v>
      </c>
      <c r="F14" s="26" t="s">
        <v>85</v>
      </c>
      <c r="G14" s="24">
        <v>34</v>
      </c>
      <c r="H14" s="60">
        <v>22604</v>
      </c>
      <c r="M14">
        <f>2500-625</f>
        <v>1875</v>
      </c>
      <c r="AA14">
        <v>13</v>
      </c>
      <c r="AB14">
        <v>1013</v>
      </c>
      <c r="AC14">
        <v>20</v>
      </c>
      <c r="AD14" t="s">
        <v>83</v>
      </c>
      <c r="AE14">
        <v>17</v>
      </c>
      <c r="AF14" s="7">
        <v>99</v>
      </c>
      <c r="AG14">
        <v>8.1</v>
      </c>
      <c r="AH14">
        <v>94</v>
      </c>
      <c r="AI14" t="s">
        <v>84</v>
      </c>
      <c r="AJ14" s="57">
        <f ca="1">TODAY()+1</f>
        <v>46182</v>
      </c>
      <c r="AR14" s="59" t="s">
        <v>87</v>
      </c>
      <c r="AS14">
        <v>7</v>
      </c>
    </row>
    <row r="15" spans="1:45" ht="16.5" thickTop="1" thickBot="1">
      <c r="A15" s="34">
        <v>14</v>
      </c>
      <c r="B15" s="33">
        <v>100014</v>
      </c>
      <c r="C15" s="32" t="s">
        <v>105</v>
      </c>
      <c r="D15" s="28">
        <v>803</v>
      </c>
      <c r="E15" s="27" t="s">
        <v>91</v>
      </c>
      <c r="F15" s="26" t="s">
        <v>85</v>
      </c>
      <c r="G15" s="24">
        <v>28</v>
      </c>
      <c r="H15" s="60">
        <v>164365</v>
      </c>
      <c r="K15" s="46">
        <v>3444</v>
      </c>
      <c r="M15">
        <f>M13-(M13/100)*N13</f>
        <v>1875</v>
      </c>
      <c r="AA15">
        <v>14</v>
      </c>
      <c r="AB15">
        <v>1014</v>
      </c>
      <c r="AC15">
        <v>21</v>
      </c>
      <c r="AD15" t="s">
        <v>85</v>
      </c>
      <c r="AE15">
        <v>5</v>
      </c>
      <c r="AF15" s="7">
        <v>68</v>
      </c>
      <c r="AG15">
        <v>5.9</v>
      </c>
      <c r="AH15">
        <v>54</v>
      </c>
      <c r="AI15" t="s">
        <v>87</v>
      </c>
      <c r="AJ15" s="57">
        <f ca="1">TODAY()-1</f>
        <v>46180</v>
      </c>
      <c r="AR15" s="59" t="s">
        <v>86</v>
      </c>
      <c r="AS15">
        <v>8</v>
      </c>
    </row>
    <row r="16" spans="1:45" ht="16.5" thickTop="1" thickBot="1">
      <c r="A16" s="34">
        <v>15</v>
      </c>
      <c r="B16" s="33">
        <v>100015</v>
      </c>
      <c r="C16" s="32" t="s">
        <v>106</v>
      </c>
      <c r="D16" s="28">
        <v>442</v>
      </c>
      <c r="E16" s="27" t="s">
        <v>93</v>
      </c>
      <c r="F16" s="26" t="s">
        <v>83</v>
      </c>
      <c r="G16" s="24">
        <v>22</v>
      </c>
      <c r="H16" s="60">
        <v>180396</v>
      </c>
      <c r="AA16">
        <v>15</v>
      </c>
      <c r="AB16">
        <v>1015</v>
      </c>
      <c r="AC16">
        <v>22</v>
      </c>
      <c r="AD16" t="s">
        <v>83</v>
      </c>
      <c r="AE16">
        <v>12</v>
      </c>
      <c r="AF16" s="7">
        <v>90</v>
      </c>
      <c r="AG16">
        <v>7</v>
      </c>
      <c r="AH16">
        <v>79</v>
      </c>
      <c r="AI16" t="s">
        <v>86</v>
      </c>
      <c r="AJ16" s="57">
        <v>46178</v>
      </c>
      <c r="AR16" s="59" t="s">
        <v>84</v>
      </c>
      <c r="AS16">
        <v>10</v>
      </c>
    </row>
    <row r="17" spans="1:45" ht="16.5" thickTop="1" thickBot="1">
      <c r="A17" s="34">
        <v>16</v>
      </c>
      <c r="B17" s="33">
        <v>100016</v>
      </c>
      <c r="C17" s="32" t="s">
        <v>107</v>
      </c>
      <c r="D17" s="28">
        <v>407</v>
      </c>
      <c r="E17" s="27" t="s">
        <v>95</v>
      </c>
      <c r="F17" s="26" t="s">
        <v>83</v>
      </c>
      <c r="G17" s="24">
        <v>42</v>
      </c>
      <c r="H17" s="60">
        <v>13669</v>
      </c>
      <c r="AA17">
        <v>16</v>
      </c>
      <c r="AB17">
        <v>1016</v>
      </c>
      <c r="AC17">
        <v>18</v>
      </c>
      <c r="AD17" t="s">
        <v>85</v>
      </c>
      <c r="AE17">
        <v>15</v>
      </c>
      <c r="AF17" s="7">
        <v>97</v>
      </c>
      <c r="AG17">
        <v>7.7</v>
      </c>
      <c r="AH17">
        <v>89</v>
      </c>
      <c r="AI17" t="s">
        <v>84</v>
      </c>
      <c r="AJ17" s="57">
        <f ca="1">TODAY()</f>
        <v>46181</v>
      </c>
      <c r="AR17" s="59" t="s">
        <v>152</v>
      </c>
      <c r="AS17">
        <v>25</v>
      </c>
    </row>
    <row r="18" spans="1:45" ht="16.5" thickTop="1" thickBot="1">
      <c r="A18" s="34">
        <v>17</v>
      </c>
      <c r="B18" s="33">
        <v>100017</v>
      </c>
      <c r="C18" s="32" t="s">
        <v>108</v>
      </c>
      <c r="D18" s="28">
        <v>472</v>
      </c>
      <c r="E18" s="27" t="s">
        <v>89</v>
      </c>
      <c r="F18" s="26" t="s">
        <v>83</v>
      </c>
      <c r="G18" s="24">
        <v>51</v>
      </c>
      <c r="H18" s="60">
        <v>18758</v>
      </c>
      <c r="K18" s="45">
        <v>9586743938</v>
      </c>
      <c r="AA18">
        <v>17</v>
      </c>
      <c r="AB18">
        <v>1017</v>
      </c>
      <c r="AC18">
        <v>19</v>
      </c>
      <c r="AD18" t="s">
        <v>83</v>
      </c>
      <c r="AE18">
        <v>7</v>
      </c>
      <c r="AF18" s="7">
        <v>76</v>
      </c>
      <c r="AG18">
        <v>6.1</v>
      </c>
      <c r="AH18">
        <v>62</v>
      </c>
      <c r="AI18" t="s">
        <v>87</v>
      </c>
      <c r="AJ18" s="57">
        <f ca="1">TODAY()+2</f>
        <v>46183</v>
      </c>
    </row>
    <row r="19" spans="1:45" ht="15.75" thickTop="1">
      <c r="S19" t="s">
        <v>154</v>
      </c>
      <c r="AA19">
        <v>18</v>
      </c>
      <c r="AB19">
        <v>1018</v>
      </c>
      <c r="AC19">
        <v>20</v>
      </c>
      <c r="AD19" t="s">
        <v>85</v>
      </c>
      <c r="AE19">
        <v>11</v>
      </c>
      <c r="AF19" s="7">
        <v>88</v>
      </c>
      <c r="AG19">
        <v>7</v>
      </c>
      <c r="AH19">
        <v>74</v>
      </c>
      <c r="AI19" t="s">
        <v>86</v>
      </c>
      <c r="AJ19" s="57">
        <f ca="1">TODAY()+2</f>
        <v>46183</v>
      </c>
    </row>
    <row r="20" spans="1:45">
      <c r="AA20">
        <v>19</v>
      </c>
      <c r="AB20">
        <v>1019</v>
      </c>
      <c r="AC20">
        <v>21</v>
      </c>
      <c r="AD20" t="s">
        <v>83</v>
      </c>
      <c r="AE20">
        <v>13</v>
      </c>
      <c r="AF20" s="7">
        <v>91</v>
      </c>
      <c r="AG20">
        <v>7.4</v>
      </c>
      <c r="AH20">
        <v>81</v>
      </c>
      <c r="AI20" t="s">
        <v>84</v>
      </c>
      <c r="AJ20" s="57">
        <f ca="1">TODAY()+1</f>
        <v>46182</v>
      </c>
    </row>
    <row r="21" spans="1:45">
      <c r="F21" s="47" t="s">
        <v>136</v>
      </c>
      <c r="H21" s="49"/>
      <c r="O21">
        <v>34235</v>
      </c>
      <c r="AA21">
        <v>20</v>
      </c>
      <c r="AB21">
        <v>1020</v>
      </c>
      <c r="AC21">
        <v>22</v>
      </c>
      <c r="AD21" t="s">
        <v>85</v>
      </c>
      <c r="AE21">
        <v>8</v>
      </c>
      <c r="AF21" s="7">
        <v>79</v>
      </c>
      <c r="AG21">
        <v>6.3</v>
      </c>
      <c r="AH21">
        <v>65</v>
      </c>
      <c r="AI21" t="s">
        <v>87</v>
      </c>
      <c r="AJ21" s="57">
        <f ca="1">TODAY()+1</f>
        <v>46182</v>
      </c>
    </row>
    <row r="22" spans="1:45">
      <c r="F22" s="47" t="s">
        <v>137</v>
      </c>
      <c r="H22" s="49"/>
      <c r="O22">
        <v>1</v>
      </c>
      <c r="AA22">
        <v>21</v>
      </c>
      <c r="AB22">
        <v>1021</v>
      </c>
      <c r="AC22">
        <v>18</v>
      </c>
      <c r="AD22" t="s">
        <v>83</v>
      </c>
      <c r="AE22">
        <v>16</v>
      </c>
      <c r="AF22" s="7">
        <v>98</v>
      </c>
      <c r="AG22">
        <v>8.1999999999999993</v>
      </c>
      <c r="AH22">
        <v>93</v>
      </c>
      <c r="AI22" t="s">
        <v>84</v>
      </c>
      <c r="AJ22" s="57">
        <f ca="1">TODAY()-1</f>
        <v>46180</v>
      </c>
    </row>
    <row r="23" spans="1:45">
      <c r="O23">
        <v>656</v>
      </c>
      <c r="AA23">
        <v>22</v>
      </c>
      <c r="AB23">
        <v>1022</v>
      </c>
      <c r="AC23">
        <v>19</v>
      </c>
      <c r="AD23" t="s">
        <v>85</v>
      </c>
      <c r="AE23">
        <v>10</v>
      </c>
      <c r="AF23" s="7">
        <v>86</v>
      </c>
      <c r="AG23">
        <v>6.7</v>
      </c>
      <c r="AH23">
        <v>71</v>
      </c>
      <c r="AI23" t="s">
        <v>86</v>
      </c>
      <c r="AJ23" s="57">
        <f ca="1">TODAY()+1</f>
        <v>46182</v>
      </c>
    </row>
    <row r="24" spans="1:45">
      <c r="B24" t="s">
        <v>145</v>
      </c>
      <c r="C24" t="s">
        <v>144</v>
      </c>
      <c r="AA24">
        <v>23</v>
      </c>
      <c r="AB24">
        <v>1023</v>
      </c>
      <c r="AC24">
        <v>20</v>
      </c>
      <c r="AD24" t="s">
        <v>83</v>
      </c>
      <c r="AE24">
        <v>6</v>
      </c>
      <c r="AF24" s="7">
        <v>72</v>
      </c>
      <c r="AG24">
        <v>5.7</v>
      </c>
      <c r="AH24">
        <v>57</v>
      </c>
      <c r="AI24" t="s">
        <v>87</v>
      </c>
      <c r="AJ24" s="57">
        <f ca="1">TODAY()</f>
        <v>46181</v>
      </c>
    </row>
    <row r="25" spans="1:45">
      <c r="B25" t="s">
        <v>146</v>
      </c>
      <c r="C25" t="s">
        <v>147</v>
      </c>
      <c r="K25" t="s">
        <v>143</v>
      </c>
      <c r="AA25">
        <v>24</v>
      </c>
      <c r="AB25">
        <v>1024</v>
      </c>
      <c r="AC25">
        <v>21</v>
      </c>
      <c r="AD25" t="s">
        <v>85</v>
      </c>
      <c r="AE25">
        <v>12</v>
      </c>
      <c r="AF25" s="7">
        <v>90</v>
      </c>
      <c r="AG25">
        <v>7.1</v>
      </c>
      <c r="AH25">
        <v>77</v>
      </c>
      <c r="AI25" t="s">
        <v>84</v>
      </c>
      <c r="AJ25" s="57">
        <f ca="1">TODAY()+1</f>
        <v>46182</v>
      </c>
    </row>
    <row r="26" spans="1:45">
      <c r="K26" t="s">
        <v>22</v>
      </c>
      <c r="L26">
        <v>0</v>
      </c>
      <c r="M26" t="s">
        <v>138</v>
      </c>
      <c r="N26" t="s">
        <v>139</v>
      </c>
      <c r="O26" t="s">
        <v>140</v>
      </c>
      <c r="P26" t="s">
        <v>141</v>
      </c>
      <c r="Q26" t="s">
        <v>142</v>
      </c>
      <c r="AA26">
        <v>25</v>
      </c>
      <c r="AB26">
        <v>1025</v>
      </c>
      <c r="AC26">
        <v>22</v>
      </c>
      <c r="AD26" t="s">
        <v>83</v>
      </c>
      <c r="AE26">
        <v>9</v>
      </c>
      <c r="AF26" s="7">
        <v>25</v>
      </c>
      <c r="AG26">
        <v>6.6</v>
      </c>
      <c r="AH26">
        <v>68</v>
      </c>
      <c r="AI26" t="s">
        <v>86</v>
      </c>
      <c r="AJ26" s="57">
        <f ca="1">TODAY()-1</f>
        <v>46180</v>
      </c>
    </row>
    <row r="27" spans="1:45">
      <c r="C27" t="s">
        <v>148</v>
      </c>
      <c r="K27">
        <v>1.5</v>
      </c>
      <c r="L27" s="7">
        <v>1.5</v>
      </c>
      <c r="M27" s="50">
        <v>1.5</v>
      </c>
      <c r="N27" s="51">
        <v>1.5</v>
      </c>
      <c r="O27" s="52">
        <v>1.5</v>
      </c>
      <c r="P27" s="53">
        <v>1.5</v>
      </c>
      <c r="Q27" s="54">
        <v>1.5</v>
      </c>
      <c r="AA27">
        <v>26</v>
      </c>
      <c r="AB27">
        <v>1026</v>
      </c>
      <c r="AC27">
        <v>18</v>
      </c>
      <c r="AD27" t="s">
        <v>85</v>
      </c>
      <c r="AE27">
        <v>14</v>
      </c>
      <c r="AF27" s="7">
        <v>94</v>
      </c>
      <c r="AG27">
        <v>7.6</v>
      </c>
      <c r="AH27">
        <v>85</v>
      </c>
      <c r="AI27" t="s">
        <v>84</v>
      </c>
      <c r="AJ27" s="57">
        <v>46178</v>
      </c>
    </row>
    <row r="28" spans="1:45">
      <c r="K28">
        <v>1</v>
      </c>
      <c r="L28" s="7">
        <v>1</v>
      </c>
      <c r="M28" s="50">
        <v>1</v>
      </c>
      <c r="N28" s="51">
        <v>1</v>
      </c>
      <c r="O28" s="52">
        <v>1</v>
      </c>
      <c r="P28" s="53">
        <v>1</v>
      </c>
      <c r="Q28" s="54">
        <v>1</v>
      </c>
      <c r="AA28">
        <v>27</v>
      </c>
      <c r="AB28">
        <v>1027</v>
      </c>
      <c r="AC28">
        <v>19</v>
      </c>
      <c r="AD28" t="s">
        <v>83</v>
      </c>
      <c r="AE28">
        <v>5</v>
      </c>
      <c r="AF28" s="7">
        <v>69</v>
      </c>
      <c r="AG28">
        <v>5.8</v>
      </c>
      <c r="AH28">
        <v>55</v>
      </c>
      <c r="AI28" t="s">
        <v>87</v>
      </c>
      <c r="AJ28" s="57">
        <f ca="1">TODAY()</f>
        <v>46181</v>
      </c>
    </row>
    <row r="29" spans="1:45">
      <c r="K29">
        <v>3.4</v>
      </c>
      <c r="L29" s="7">
        <v>3.4</v>
      </c>
      <c r="M29" s="50">
        <v>3.4</v>
      </c>
      <c r="N29" s="51">
        <v>3.4</v>
      </c>
      <c r="O29" s="52">
        <v>3.4</v>
      </c>
      <c r="P29" s="53">
        <v>3.4</v>
      </c>
      <c r="Q29" s="54">
        <v>3.4</v>
      </c>
      <c r="AA29">
        <v>28</v>
      </c>
      <c r="AB29">
        <v>1028</v>
      </c>
      <c r="AC29">
        <v>20</v>
      </c>
      <c r="AD29" t="s">
        <v>85</v>
      </c>
      <c r="AE29">
        <v>13</v>
      </c>
      <c r="AF29" s="7">
        <v>92</v>
      </c>
      <c r="AG29">
        <v>7.3</v>
      </c>
      <c r="AH29">
        <v>83</v>
      </c>
      <c r="AI29" t="s">
        <v>84</v>
      </c>
      <c r="AJ29" s="57">
        <f ca="1">TODAY()+2</f>
        <v>46183</v>
      </c>
    </row>
    <row r="30" spans="1:45">
      <c r="K30">
        <v>3.948</v>
      </c>
      <c r="L30" s="7">
        <v>3.948</v>
      </c>
      <c r="M30" s="50">
        <v>3.948</v>
      </c>
      <c r="N30" s="51">
        <v>3.948</v>
      </c>
      <c r="O30" s="52">
        <v>3.948</v>
      </c>
      <c r="P30" s="53">
        <v>3.948</v>
      </c>
      <c r="Q30" s="54">
        <v>3.948</v>
      </c>
      <c r="AA30">
        <v>29</v>
      </c>
      <c r="AB30">
        <v>1029</v>
      </c>
      <c r="AC30">
        <v>21</v>
      </c>
      <c r="AD30" t="s">
        <v>83</v>
      </c>
      <c r="AE30">
        <v>11</v>
      </c>
      <c r="AF30" s="7">
        <v>88</v>
      </c>
      <c r="AG30">
        <v>7</v>
      </c>
      <c r="AH30">
        <v>76</v>
      </c>
      <c r="AI30" t="s">
        <v>86</v>
      </c>
      <c r="AJ30" s="57">
        <f ca="1">TODAY()+2</f>
        <v>46183</v>
      </c>
    </row>
    <row r="31" spans="1:45">
      <c r="K31">
        <v>3.55</v>
      </c>
      <c r="L31" s="7">
        <v>3.55</v>
      </c>
      <c r="M31" s="50">
        <v>3.55</v>
      </c>
      <c r="N31" s="51">
        <v>3.55</v>
      </c>
      <c r="O31" s="52">
        <v>3.55</v>
      </c>
      <c r="P31" s="53">
        <v>3.55</v>
      </c>
      <c r="Q31" s="54">
        <v>3.55</v>
      </c>
      <c r="AA31">
        <v>30</v>
      </c>
      <c r="AB31">
        <v>1030</v>
      </c>
      <c r="AC31">
        <v>22</v>
      </c>
      <c r="AD31" t="s">
        <v>85</v>
      </c>
      <c r="AE31">
        <v>7</v>
      </c>
      <c r="AF31" s="7">
        <v>75</v>
      </c>
      <c r="AG31">
        <v>6</v>
      </c>
      <c r="AH31">
        <v>60</v>
      </c>
      <c r="AI31" t="s">
        <v>87</v>
      </c>
      <c r="AJ31" s="57">
        <f ca="1">TODAY()+1</f>
        <v>46182</v>
      </c>
    </row>
    <row r="32" spans="1:45">
      <c r="K32">
        <v>2</v>
      </c>
      <c r="L32" s="7">
        <v>2</v>
      </c>
      <c r="M32" s="50">
        <v>2</v>
      </c>
      <c r="N32" s="51">
        <v>2</v>
      </c>
      <c r="O32" s="52">
        <v>2</v>
      </c>
      <c r="P32" s="53">
        <v>2</v>
      </c>
      <c r="Q32" s="54">
        <v>2</v>
      </c>
      <c r="AI32" s="56"/>
    </row>
    <row r="33" spans="2:35">
      <c r="AI33" s="56"/>
    </row>
    <row r="34" spans="2:35">
      <c r="AI34" s="56"/>
    </row>
    <row r="36" spans="2:35">
      <c r="B36" t="s">
        <v>149</v>
      </c>
    </row>
  </sheetData>
  <conditionalFormatting sqref="AA2:AB31">
    <cfRule type="duplicateValues" dxfId="11" priority="10"/>
  </conditionalFormatting>
  <conditionalFormatting sqref="AD2:AD30">
    <cfRule type="containsText" dxfId="10" priority="3" operator="containsText" text="Female">
      <formula>NOT(ISERROR(SEARCH("Female",AD2)))</formula>
    </cfRule>
  </conditionalFormatting>
  <conditionalFormatting sqref="AD2:AD31">
    <cfRule type="beginsWith" dxfId="9" priority="1" operator="beginsWith" text="ma">
      <formula>LEFT(AD2,LEN("ma"))="ma"</formula>
    </cfRule>
    <cfRule type="containsText" dxfId="8" priority="2" operator="containsText" text="male">
      <formula>NOT(ISERROR(SEARCH("male",AD2)))</formula>
    </cfRule>
  </conditionalFormatting>
  <conditionalFormatting sqref="AF2:AF31">
    <cfRule type="colorScale" priority="11">
      <colorScale>
        <cfvo type="min"/>
        <cfvo type="max"/>
        <color theme="4" tint="0.59999389629810485"/>
        <color rgb="FFFFEF9C"/>
      </colorScale>
    </cfRule>
    <cfRule type="colorScale" priority="12">
      <colorScale>
        <cfvo type="percentile" val="10"/>
        <cfvo type="max"/>
        <color rgb="FFE4EEED"/>
        <color rgb="FFFFEF9C"/>
      </colorScale>
    </cfRule>
    <cfRule type="iconSet" priority="13">
      <iconSet iconSet="3Arrows">
        <cfvo type="percent" val="0"/>
        <cfvo type="percent" val="50"/>
        <cfvo type="num" val="75"/>
      </iconSet>
    </cfRule>
  </conditionalFormatting>
  <conditionalFormatting sqref="AG2:AG31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{48F83C81-9BE8-43FC-AA10-33C11BA83897}</x14:id>
        </ext>
      </extLst>
    </cfRule>
  </conditionalFormatting>
  <conditionalFormatting sqref="AH2:AH31">
    <cfRule type="cellIs" dxfId="7" priority="16" operator="equal">
      <formula>74</formula>
    </cfRule>
    <cfRule type="cellIs" dxfId="6" priority="19" operator="lessThan">
      <formula>74</formula>
    </cfRule>
    <cfRule type="cellIs" dxfId="5" priority="20" operator="greaterThan">
      <formula>74</formula>
    </cfRule>
  </conditionalFormatting>
  <conditionalFormatting sqref="AJ2:AJ30">
    <cfRule type="timePeriod" dxfId="4" priority="4" timePeriod="yesterday">
      <formula>FLOOR(AJ2,1)=TODAY()-1</formula>
    </cfRule>
  </conditionalFormatting>
  <conditionalFormatting sqref="AJ2:AJ31">
    <cfRule type="timePeriod" dxfId="3" priority="5" timePeriod="tomorrow">
      <formula>FLOOR(AJ2,1)=TODAY()+1</formula>
    </cfRule>
    <cfRule type="timePeriod" dxfId="2" priority="6" timePeriod="today">
      <formula>FLOOR(AJ2,1)=TODAY()</formula>
    </cfRule>
  </conditionalFormatting>
  <conditionalFormatting sqref="AK9">
    <cfRule type="cellIs" dxfId="1" priority="17" operator="equal">
      <formula>74</formula>
    </cfRule>
    <cfRule type="cellIs" dxfId="0" priority="18" operator="equal">
      <formula>74</formula>
    </cfRule>
  </conditionalFormatting>
  <pageMargins left="0.7" right="0.7" top="0.75" bottom="0.75" header="0.3" footer="0.3"/>
  <drawing r:id="rId3"/>
  <tableParts count="1"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8F83C81-9BE8-43FC-AA10-33C11BA8389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AG2:AG31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3B070-BAA1-4520-A10B-417077394372}">
  <dimension ref="A1:AC209"/>
  <sheetViews>
    <sheetView tabSelected="1" topLeftCell="A31" zoomScale="124" zoomScaleNormal="124" workbookViewId="0">
      <selection activeCell="F38" sqref="F38"/>
    </sheetView>
  </sheetViews>
  <sheetFormatPr defaultRowHeight="15"/>
  <cols>
    <col min="2" max="2" width="9.28515625" bestFit="1" customWidth="1"/>
    <col min="3" max="3" width="11" bestFit="1" customWidth="1"/>
    <col min="4" max="4" width="7" bestFit="1" customWidth="1"/>
    <col min="5" max="5" width="27.5703125" customWidth="1"/>
    <col min="6" max="6" width="56.5703125" customWidth="1"/>
    <col min="7" max="7" width="37" customWidth="1"/>
    <col min="8" max="8" width="11.140625" bestFit="1" customWidth="1"/>
    <col min="9" max="9" width="19.7109375" customWidth="1"/>
    <col min="10" max="10" width="23.42578125" customWidth="1"/>
    <col min="11" max="11" width="19" customWidth="1"/>
    <col min="12" max="12" width="23.28515625" customWidth="1"/>
    <col min="13" max="13" width="18.85546875" customWidth="1"/>
    <col min="14" max="14" width="11" customWidth="1"/>
    <col min="15" max="15" width="18.140625" customWidth="1"/>
    <col min="16" max="16" width="21.5703125" customWidth="1"/>
    <col min="22" max="22" width="12.140625" bestFit="1" customWidth="1"/>
    <col min="23" max="23" width="6.7109375" bestFit="1" customWidth="1"/>
    <col min="24" max="24" width="10" bestFit="1" customWidth="1"/>
    <col min="25" max="25" width="22" bestFit="1" customWidth="1"/>
    <col min="26" max="26" width="16.42578125" bestFit="1" customWidth="1"/>
    <col min="27" max="27" width="13.42578125" bestFit="1" customWidth="1"/>
    <col min="28" max="28" width="11.85546875" bestFit="1" customWidth="1"/>
    <col min="29" max="29" width="14" bestFit="1" customWidth="1"/>
  </cols>
  <sheetData>
    <row r="1" spans="1:29">
      <c r="A1" t="s">
        <v>0</v>
      </c>
      <c r="B1" t="s">
        <v>1</v>
      </c>
      <c r="C1" t="s">
        <v>2</v>
      </c>
      <c r="V1" s="3" t="s">
        <v>77</v>
      </c>
      <c r="W1" s="3" t="s">
        <v>62</v>
      </c>
      <c r="X1" s="3" t="s">
        <v>75</v>
      </c>
      <c r="Y1" s="3" t="s">
        <v>78</v>
      </c>
      <c r="Z1" s="3" t="s">
        <v>79</v>
      </c>
      <c r="AA1" s="3" t="s">
        <v>80</v>
      </c>
      <c r="AB1" s="3" t="s">
        <v>81</v>
      </c>
      <c r="AC1" s="3" t="s">
        <v>82</v>
      </c>
    </row>
    <row r="2" spans="1:29">
      <c r="V2" s="4">
        <v>1001</v>
      </c>
      <c r="W2" s="4">
        <v>18</v>
      </c>
      <c r="X2" s="4" t="s">
        <v>83</v>
      </c>
      <c r="Y2" s="4">
        <v>12</v>
      </c>
      <c r="Z2" s="5">
        <v>92</v>
      </c>
      <c r="AA2" s="4">
        <v>7.5</v>
      </c>
      <c r="AB2" s="4">
        <v>78</v>
      </c>
      <c r="AC2" s="4" t="s">
        <v>84</v>
      </c>
    </row>
    <row r="3" spans="1:29">
      <c r="G3" s="61" t="s">
        <v>3</v>
      </c>
      <c r="H3" s="61"/>
      <c r="I3" s="2" t="s">
        <v>4</v>
      </c>
      <c r="K3" s="61" t="s">
        <v>5</v>
      </c>
      <c r="L3" s="61"/>
      <c r="M3" s="2" t="s">
        <v>6</v>
      </c>
      <c r="O3" s="2" t="s">
        <v>7</v>
      </c>
      <c r="V3" s="4">
        <v>1002</v>
      </c>
      <c r="W3" s="4">
        <v>19</v>
      </c>
      <c r="X3" s="4" t="s">
        <v>85</v>
      </c>
      <c r="Y3" s="4">
        <v>9</v>
      </c>
      <c r="Z3" s="5">
        <v>85</v>
      </c>
      <c r="AA3" s="4">
        <v>6.8</v>
      </c>
      <c r="AB3" s="4">
        <v>69</v>
      </c>
      <c r="AC3" s="4" t="s">
        <v>86</v>
      </c>
    </row>
    <row r="4" spans="1:29">
      <c r="A4" s="1" t="s">
        <v>3</v>
      </c>
      <c r="B4" t="s">
        <v>4</v>
      </c>
      <c r="C4" t="s">
        <v>5</v>
      </c>
      <c r="G4" t="s">
        <v>14</v>
      </c>
      <c r="H4" t="s">
        <v>15</v>
      </c>
      <c r="I4" t="s">
        <v>18</v>
      </c>
      <c r="K4" t="s">
        <v>14</v>
      </c>
      <c r="L4" t="s">
        <v>15</v>
      </c>
      <c r="M4" t="s">
        <v>14</v>
      </c>
      <c r="N4" t="s">
        <v>15</v>
      </c>
      <c r="O4" t="s">
        <v>18</v>
      </c>
      <c r="V4" s="4">
        <v>1003</v>
      </c>
      <c r="W4" s="4">
        <v>20</v>
      </c>
      <c r="X4" s="4" t="s">
        <v>83</v>
      </c>
      <c r="Y4" s="4">
        <v>15</v>
      </c>
      <c r="Z4" s="5">
        <v>96</v>
      </c>
      <c r="AA4" s="4">
        <v>7.9</v>
      </c>
      <c r="AB4" s="4">
        <v>88</v>
      </c>
      <c r="AC4" s="4" t="s">
        <v>84</v>
      </c>
    </row>
    <row r="5" spans="1:29">
      <c r="G5" t="s">
        <v>10</v>
      </c>
      <c r="I5" t="s">
        <v>10</v>
      </c>
      <c r="J5" t="str">
        <f>REPLACE(I6,13,100,"hdfffddf")</f>
        <v>ABCDEF-2005-hdfffddf</v>
      </c>
      <c r="K5" t="s">
        <v>10</v>
      </c>
      <c r="M5" t="s">
        <v>10</v>
      </c>
      <c r="O5" t="s">
        <v>10</v>
      </c>
      <c r="P5">
        <f>SEARCH("A",O6)</f>
        <v>1</v>
      </c>
      <c r="V5" s="4">
        <v>1004</v>
      </c>
      <c r="W5" s="4">
        <v>21</v>
      </c>
      <c r="X5" s="4" t="s">
        <v>85</v>
      </c>
      <c r="Y5" s="4">
        <v>7</v>
      </c>
      <c r="Z5" s="5">
        <v>74</v>
      </c>
      <c r="AA5" s="4">
        <v>6.2</v>
      </c>
      <c r="AB5" s="4">
        <v>61</v>
      </c>
      <c r="AC5" s="4" t="s">
        <v>87</v>
      </c>
    </row>
    <row r="6" spans="1:29">
      <c r="A6" t="s">
        <v>6</v>
      </c>
      <c r="B6" t="s">
        <v>7</v>
      </c>
      <c r="G6" t="s">
        <v>9</v>
      </c>
      <c r="H6">
        <f>FIND("1",G6)</f>
        <v>15</v>
      </c>
      <c r="I6" t="s">
        <v>9</v>
      </c>
      <c r="J6" t="str">
        <f>REPLACE(I6,15,100,"idjifoji")</f>
        <v>ABCDEF-2005-00idjifoji</v>
      </c>
      <c r="K6" t="s">
        <v>9</v>
      </c>
      <c r="L6" t="str">
        <f>SUBSTITUTE(K6,"CDE","edko")</f>
        <v>ABedkoF-2005-001</v>
      </c>
      <c r="M6" t="s">
        <v>9</v>
      </c>
      <c r="N6" t="str">
        <f>MID(M6,11,2)</f>
        <v>5-</v>
      </c>
      <c r="O6" t="s">
        <v>9</v>
      </c>
      <c r="P6">
        <f>SEARCH("2",O6)</f>
        <v>8</v>
      </c>
      <c r="V6" s="4">
        <v>1005</v>
      </c>
      <c r="W6" s="4">
        <v>22</v>
      </c>
      <c r="X6" s="4" t="s">
        <v>83</v>
      </c>
      <c r="Y6" s="4">
        <v>11</v>
      </c>
      <c r="Z6" s="5">
        <v>89</v>
      </c>
      <c r="AA6" s="4">
        <v>7.1</v>
      </c>
      <c r="AB6" s="4">
        <v>75</v>
      </c>
      <c r="AC6" s="4" t="s">
        <v>86</v>
      </c>
    </row>
    <row r="7" spans="1:29">
      <c r="H7">
        <f>FIND("5",G6)</f>
        <v>11</v>
      </c>
      <c r="L7" t="str">
        <f>SUBSTITUTE(K6,"2005","uhdefih")</f>
        <v>ABCDEF-uhdefih-001</v>
      </c>
      <c r="N7" t="str">
        <f>MID(M6,11,3)</f>
        <v>5-0</v>
      </c>
      <c r="P7">
        <f>SEARCH("E",O6)</f>
        <v>5</v>
      </c>
      <c r="V7" s="4">
        <v>1006</v>
      </c>
      <c r="W7" s="4">
        <v>18</v>
      </c>
      <c r="X7" s="4" t="s">
        <v>85</v>
      </c>
      <c r="Y7" s="4">
        <v>16</v>
      </c>
      <c r="Z7" s="5">
        <v>98</v>
      </c>
      <c r="AA7" s="4">
        <v>8</v>
      </c>
      <c r="AB7" s="4">
        <v>91</v>
      </c>
      <c r="AC7" s="4" t="s">
        <v>84</v>
      </c>
    </row>
    <row r="8" spans="1:29">
      <c r="A8" t="s">
        <v>8</v>
      </c>
      <c r="L8" t="str">
        <f>SUBSTITUTE(L7,"A","Z")</f>
        <v>ZBCDEF-uhdefih-001</v>
      </c>
      <c r="V8" s="4">
        <v>1007</v>
      </c>
      <c r="W8" s="4">
        <v>19</v>
      </c>
      <c r="X8" s="4" t="s">
        <v>83</v>
      </c>
      <c r="Y8" s="4">
        <v>8</v>
      </c>
      <c r="Z8" s="5">
        <v>80</v>
      </c>
      <c r="AA8" s="4">
        <v>6.5</v>
      </c>
      <c r="AB8" s="4">
        <v>66</v>
      </c>
      <c r="AC8" s="4" t="s">
        <v>87</v>
      </c>
    </row>
    <row r="9" spans="1:29">
      <c r="V9" s="4">
        <v>1008</v>
      </c>
      <c r="W9" s="4">
        <v>20</v>
      </c>
      <c r="X9" s="4" t="s">
        <v>85</v>
      </c>
      <c r="Y9" s="4">
        <v>13</v>
      </c>
      <c r="Z9" s="5">
        <v>93</v>
      </c>
      <c r="AA9" s="4">
        <v>7.2</v>
      </c>
      <c r="AB9" s="4">
        <v>82</v>
      </c>
      <c r="AC9" s="4" t="s">
        <v>84</v>
      </c>
    </row>
    <row r="10" spans="1:29">
      <c r="L10" t="s">
        <v>14</v>
      </c>
      <c r="M10" t="s">
        <v>15</v>
      </c>
      <c r="N10" t="s">
        <v>18</v>
      </c>
      <c r="O10" t="s">
        <v>19</v>
      </c>
      <c r="P10" t="s">
        <v>20</v>
      </c>
      <c r="V10" s="4">
        <v>1009</v>
      </c>
      <c r="W10" s="4">
        <v>21</v>
      </c>
      <c r="X10" s="4" t="s">
        <v>83</v>
      </c>
      <c r="Y10" s="4">
        <v>10</v>
      </c>
      <c r="Z10" s="5">
        <v>87</v>
      </c>
      <c r="AA10" s="4">
        <v>6.9</v>
      </c>
      <c r="AB10" s="4">
        <v>73</v>
      </c>
      <c r="AC10" s="4" t="s">
        <v>86</v>
      </c>
    </row>
    <row r="11" spans="1:29">
      <c r="V11" s="4">
        <v>1010</v>
      </c>
      <c r="W11" s="4">
        <v>22</v>
      </c>
      <c r="X11" s="4" t="s">
        <v>85</v>
      </c>
      <c r="Y11" s="4">
        <v>6</v>
      </c>
      <c r="Z11" s="5">
        <v>70</v>
      </c>
      <c r="AA11" s="4">
        <v>5.8</v>
      </c>
      <c r="AB11" s="4">
        <v>58</v>
      </c>
      <c r="AC11" s="4" t="s">
        <v>87</v>
      </c>
    </row>
    <row r="12" spans="1:29">
      <c r="M12" s="2" t="s">
        <v>11</v>
      </c>
      <c r="V12" s="4">
        <v>1011</v>
      </c>
      <c r="W12" s="4">
        <v>18</v>
      </c>
      <c r="X12" s="4" t="s">
        <v>83</v>
      </c>
      <c r="Y12" s="4">
        <v>14</v>
      </c>
      <c r="Z12" s="5">
        <v>95</v>
      </c>
      <c r="AA12" s="4">
        <v>7.8</v>
      </c>
      <c r="AB12" s="4">
        <v>86</v>
      </c>
      <c r="AC12" s="4" t="s">
        <v>84</v>
      </c>
    </row>
    <row r="13" spans="1:29">
      <c r="M13" t="s">
        <v>13</v>
      </c>
      <c r="N13" t="s">
        <v>12</v>
      </c>
      <c r="O13" t="str">
        <f>_xlfn.CONCAT(M13," ",N13)</f>
        <v>Anjith  Kumar</v>
      </c>
      <c r="V13" s="4">
        <v>1012</v>
      </c>
      <c r="W13" s="4">
        <v>19</v>
      </c>
      <c r="X13" s="4" t="s">
        <v>85</v>
      </c>
      <c r="Y13" s="4">
        <v>9</v>
      </c>
      <c r="Z13" s="5">
        <v>83</v>
      </c>
      <c r="AA13" s="4">
        <v>6.4</v>
      </c>
      <c r="AB13" s="4">
        <v>67</v>
      </c>
      <c r="AC13" s="4" t="s">
        <v>86</v>
      </c>
    </row>
    <row r="14" spans="1:29">
      <c r="V14" s="4">
        <v>1013</v>
      </c>
      <c r="W14" s="4">
        <v>20</v>
      </c>
      <c r="X14" s="4" t="s">
        <v>83</v>
      </c>
      <c r="Y14" s="4">
        <v>17</v>
      </c>
      <c r="Z14" s="5">
        <v>99</v>
      </c>
      <c r="AA14" s="4">
        <v>8.1</v>
      </c>
      <c r="AB14" s="4">
        <v>94</v>
      </c>
      <c r="AC14" s="4" t="s">
        <v>84</v>
      </c>
    </row>
    <row r="15" spans="1:29">
      <c r="F15" t="s">
        <v>132</v>
      </c>
      <c r="V15" s="4">
        <v>1014</v>
      </c>
      <c r="W15" s="4">
        <v>21</v>
      </c>
      <c r="X15" s="4" t="s">
        <v>85</v>
      </c>
      <c r="Y15" s="4">
        <v>5</v>
      </c>
      <c r="Z15" s="5">
        <v>68</v>
      </c>
      <c r="AA15" s="4">
        <v>5.9</v>
      </c>
      <c r="AB15" s="4">
        <v>54</v>
      </c>
      <c r="AC15" s="4" t="s">
        <v>87</v>
      </c>
    </row>
    <row r="16" spans="1:29">
      <c r="P16" t="s">
        <v>16</v>
      </c>
      <c r="V16" s="4">
        <v>1015</v>
      </c>
      <c r="W16" s="4">
        <v>22</v>
      </c>
      <c r="X16" s="4" t="s">
        <v>83</v>
      </c>
      <c r="Y16" s="4">
        <v>12</v>
      </c>
      <c r="Z16" s="5">
        <v>90</v>
      </c>
      <c r="AA16" s="4">
        <v>7</v>
      </c>
      <c r="AB16" s="4">
        <v>79</v>
      </c>
      <c r="AC16" s="4" t="s">
        <v>86</v>
      </c>
    </row>
    <row r="17" spans="5:29">
      <c r="E17" t="s">
        <v>22</v>
      </c>
      <c r="F17" t="s">
        <v>23</v>
      </c>
      <c r="G17" t="s">
        <v>24</v>
      </c>
      <c r="H17" t="s">
        <v>25</v>
      </c>
      <c r="V17" s="4">
        <v>1016</v>
      </c>
      <c r="W17" s="4">
        <v>18</v>
      </c>
      <c r="X17" s="4" t="s">
        <v>85</v>
      </c>
      <c r="Y17" s="4">
        <v>15</v>
      </c>
      <c r="Z17" s="5">
        <v>97</v>
      </c>
      <c r="AA17" s="4">
        <v>7.7</v>
      </c>
      <c r="AB17" s="4">
        <v>89</v>
      </c>
      <c r="AC17" s="4" t="s">
        <v>84</v>
      </c>
    </row>
    <row r="18" spans="5:29">
      <c r="E18">
        <v>1</v>
      </c>
      <c r="F18" t="s">
        <v>26</v>
      </c>
      <c r="G18" t="s">
        <v>36</v>
      </c>
      <c r="H18">
        <v>10000</v>
      </c>
      <c r="V18" s="4">
        <v>1017</v>
      </c>
      <c r="W18" s="4">
        <v>19</v>
      </c>
      <c r="X18" s="4" t="s">
        <v>83</v>
      </c>
      <c r="Y18" s="4">
        <v>7</v>
      </c>
      <c r="Z18" s="5">
        <v>76</v>
      </c>
      <c r="AA18" s="4">
        <v>6.1</v>
      </c>
      <c r="AB18" s="4">
        <v>62</v>
      </c>
      <c r="AC18" s="4" t="s">
        <v>87</v>
      </c>
    </row>
    <row r="19" spans="5:29">
      <c r="E19">
        <v>2</v>
      </c>
      <c r="F19" t="s">
        <v>27</v>
      </c>
      <c r="G19" t="s">
        <v>36</v>
      </c>
      <c r="H19">
        <v>50000</v>
      </c>
      <c r="V19" s="4">
        <v>1018</v>
      </c>
      <c r="W19" s="4">
        <v>20</v>
      </c>
      <c r="X19" s="4" t="s">
        <v>85</v>
      </c>
      <c r="Y19" s="4">
        <v>11</v>
      </c>
      <c r="Z19" s="5">
        <v>88</v>
      </c>
      <c r="AA19" s="4">
        <v>7</v>
      </c>
      <c r="AB19" s="4">
        <v>74</v>
      </c>
      <c r="AC19" s="4" t="s">
        <v>86</v>
      </c>
    </row>
    <row r="20" spans="5:29">
      <c r="E20">
        <v>3</v>
      </c>
      <c r="F20" t="s">
        <v>28</v>
      </c>
      <c r="G20" t="s">
        <v>37</v>
      </c>
      <c r="H20">
        <v>120000</v>
      </c>
      <c r="V20" s="4">
        <v>1019</v>
      </c>
      <c r="W20" s="4">
        <v>21</v>
      </c>
      <c r="X20" s="4" t="s">
        <v>83</v>
      </c>
      <c r="Y20" s="4">
        <v>13</v>
      </c>
      <c r="Z20" s="5">
        <v>91</v>
      </c>
      <c r="AA20" s="4">
        <v>7.4</v>
      </c>
      <c r="AB20" s="4">
        <v>81</v>
      </c>
      <c r="AC20" s="4" t="s">
        <v>84</v>
      </c>
    </row>
    <row r="21" spans="5:29">
      <c r="E21">
        <v>4</v>
      </c>
      <c r="F21" t="s">
        <v>29</v>
      </c>
      <c r="G21" t="s">
        <v>36</v>
      </c>
      <c r="H21">
        <v>50000</v>
      </c>
      <c r="V21" s="4">
        <v>1020</v>
      </c>
      <c r="W21" s="4">
        <v>22</v>
      </c>
      <c r="X21" s="4" t="s">
        <v>85</v>
      </c>
      <c r="Y21" s="4">
        <v>8</v>
      </c>
      <c r="Z21" s="5">
        <v>79</v>
      </c>
      <c r="AA21" s="4">
        <v>6.3</v>
      </c>
      <c r="AB21" s="4">
        <v>65</v>
      </c>
      <c r="AC21" s="4" t="s">
        <v>87</v>
      </c>
    </row>
    <row r="22" spans="5:29">
      <c r="E22">
        <v>5</v>
      </c>
      <c r="F22" t="s">
        <v>30</v>
      </c>
      <c r="G22" t="s">
        <v>36</v>
      </c>
      <c r="H22">
        <v>45000</v>
      </c>
      <c r="V22" s="4">
        <v>1021</v>
      </c>
      <c r="W22" s="4">
        <v>18</v>
      </c>
      <c r="X22" s="4" t="s">
        <v>83</v>
      </c>
      <c r="Y22" s="4">
        <v>16</v>
      </c>
      <c r="Z22" s="5">
        <v>98</v>
      </c>
      <c r="AA22" s="4">
        <v>8.1999999999999993</v>
      </c>
      <c r="AB22" s="4">
        <v>93</v>
      </c>
      <c r="AC22" s="4" t="s">
        <v>84</v>
      </c>
    </row>
    <row r="23" spans="5:29">
      <c r="E23">
        <v>6</v>
      </c>
      <c r="F23" t="s">
        <v>31</v>
      </c>
      <c r="G23" t="s">
        <v>37</v>
      </c>
      <c r="H23">
        <v>130000</v>
      </c>
      <c r="V23" s="4">
        <v>1022</v>
      </c>
      <c r="W23" s="4">
        <v>19</v>
      </c>
      <c r="X23" s="4" t="s">
        <v>85</v>
      </c>
      <c r="Y23" s="4">
        <v>10</v>
      </c>
      <c r="Z23" s="5">
        <v>86</v>
      </c>
      <c r="AA23" s="4">
        <v>6.7</v>
      </c>
      <c r="AB23" s="4">
        <v>71</v>
      </c>
      <c r="AC23" s="4" t="s">
        <v>86</v>
      </c>
    </row>
    <row r="24" spans="5:29">
      <c r="E24">
        <v>7</v>
      </c>
      <c r="F24" t="s">
        <v>32</v>
      </c>
      <c r="G24" t="s">
        <v>37</v>
      </c>
      <c r="H24">
        <v>30000</v>
      </c>
      <c r="V24" s="4">
        <v>1023</v>
      </c>
      <c r="W24" s="4">
        <v>20</v>
      </c>
      <c r="X24" s="4" t="s">
        <v>83</v>
      </c>
      <c r="Y24" s="4">
        <v>6</v>
      </c>
      <c r="Z24" s="5">
        <v>72</v>
      </c>
      <c r="AA24" s="4">
        <v>5.7</v>
      </c>
      <c r="AB24" s="4">
        <v>57</v>
      </c>
      <c r="AC24" s="4" t="s">
        <v>87</v>
      </c>
    </row>
    <row r="25" spans="5:29">
      <c r="E25">
        <v>8</v>
      </c>
      <c r="F25" t="s">
        <v>33</v>
      </c>
      <c r="G25" t="s">
        <v>36</v>
      </c>
      <c r="H25">
        <v>40000</v>
      </c>
      <c r="J25" t="s">
        <v>22</v>
      </c>
      <c r="K25" t="s">
        <v>41</v>
      </c>
      <c r="L25" t="s">
        <v>42</v>
      </c>
      <c r="M25" t="s">
        <v>43</v>
      </c>
      <c r="N25" t="s">
        <v>44</v>
      </c>
      <c r="O25" t="s">
        <v>45</v>
      </c>
      <c r="P25" t="s">
        <v>46</v>
      </c>
      <c r="Q25" t="s">
        <v>47</v>
      </c>
      <c r="R25" t="s">
        <v>48</v>
      </c>
      <c r="S25" t="s">
        <v>49</v>
      </c>
      <c r="T25" t="s">
        <v>50</v>
      </c>
      <c r="V25" s="4">
        <v>1024</v>
      </c>
      <c r="W25" s="4">
        <v>21</v>
      </c>
      <c r="X25" s="4" t="s">
        <v>85</v>
      </c>
      <c r="Y25" s="4">
        <v>12</v>
      </c>
      <c r="Z25" s="5">
        <v>90</v>
      </c>
      <c r="AA25" s="4">
        <v>7.1</v>
      </c>
      <c r="AB25" s="4">
        <v>77</v>
      </c>
      <c r="AC25" s="4" t="s">
        <v>84</v>
      </c>
    </row>
    <row r="26" spans="5:29">
      <c r="E26">
        <v>9</v>
      </c>
      <c r="F26" t="s">
        <v>34</v>
      </c>
      <c r="G26" t="s">
        <v>37</v>
      </c>
      <c r="H26">
        <v>60000</v>
      </c>
      <c r="J26" t="s">
        <v>23</v>
      </c>
      <c r="K26" t="s">
        <v>26</v>
      </c>
      <c r="L26" t="s">
        <v>27</v>
      </c>
      <c r="M26" t="s">
        <v>28</v>
      </c>
      <c r="N26" t="s">
        <v>29</v>
      </c>
      <c r="O26" t="s">
        <v>30</v>
      </c>
      <c r="P26" t="s">
        <v>31</v>
      </c>
      <c r="Q26" t="s">
        <v>32</v>
      </c>
      <c r="R26" t="s">
        <v>33</v>
      </c>
      <c r="S26" t="s">
        <v>34</v>
      </c>
      <c r="T26" t="s">
        <v>35</v>
      </c>
      <c r="V26" s="4">
        <v>1025</v>
      </c>
      <c r="W26" s="4">
        <v>22</v>
      </c>
      <c r="X26" s="4" t="s">
        <v>83</v>
      </c>
      <c r="Y26" s="4">
        <v>9</v>
      </c>
      <c r="Z26" s="5">
        <v>84</v>
      </c>
      <c r="AA26" s="4">
        <v>6.6</v>
      </c>
      <c r="AB26" s="4">
        <v>68</v>
      </c>
      <c r="AC26" s="4" t="s">
        <v>86</v>
      </c>
    </row>
    <row r="27" spans="5:29">
      <c r="E27">
        <v>10</v>
      </c>
      <c r="F27" t="s">
        <v>35</v>
      </c>
      <c r="G27" t="s">
        <v>36</v>
      </c>
      <c r="H27">
        <v>50000</v>
      </c>
      <c r="J27" t="s">
        <v>24</v>
      </c>
      <c r="K27" t="s">
        <v>36</v>
      </c>
      <c r="L27" t="s">
        <v>36</v>
      </c>
      <c r="M27" t="s">
        <v>37</v>
      </c>
      <c r="N27" t="s">
        <v>36</v>
      </c>
      <c r="O27" t="s">
        <v>36</v>
      </c>
      <c r="P27" t="s">
        <v>37</v>
      </c>
      <c r="Q27" t="s">
        <v>37</v>
      </c>
      <c r="R27" t="s">
        <v>36</v>
      </c>
      <c r="S27" t="s">
        <v>37</v>
      </c>
      <c r="T27" t="s">
        <v>36</v>
      </c>
      <c r="V27" s="4">
        <v>1026</v>
      </c>
      <c r="W27" s="4">
        <v>18</v>
      </c>
      <c r="X27" s="4" t="s">
        <v>85</v>
      </c>
      <c r="Y27" s="4">
        <v>14</v>
      </c>
      <c r="Z27" s="5">
        <v>94</v>
      </c>
      <c r="AA27" s="4">
        <v>7.6</v>
      </c>
      <c r="AB27" s="4">
        <v>85</v>
      </c>
      <c r="AC27" s="4" t="s">
        <v>84</v>
      </c>
    </row>
    <row r="28" spans="5:29">
      <c r="J28" t="s">
        <v>25</v>
      </c>
      <c r="K28">
        <v>10000</v>
      </c>
      <c r="L28">
        <v>50000</v>
      </c>
      <c r="M28">
        <v>120000</v>
      </c>
      <c r="N28">
        <v>50000</v>
      </c>
      <c r="O28">
        <v>45000</v>
      </c>
      <c r="P28">
        <v>130000</v>
      </c>
      <c r="Q28">
        <v>30000</v>
      </c>
      <c r="R28">
        <v>40000</v>
      </c>
      <c r="S28">
        <v>60000</v>
      </c>
      <c r="T28">
        <v>50000</v>
      </c>
      <c r="V28" s="4">
        <v>1027</v>
      </c>
      <c r="W28" s="4">
        <v>19</v>
      </c>
      <c r="X28" s="4" t="s">
        <v>83</v>
      </c>
      <c r="Y28" s="4">
        <v>5</v>
      </c>
      <c r="Z28" s="5">
        <v>69</v>
      </c>
      <c r="AA28" s="4">
        <v>5.8</v>
      </c>
      <c r="AB28" s="4">
        <v>55</v>
      </c>
      <c r="AC28" s="4" t="s">
        <v>87</v>
      </c>
    </row>
    <row r="29" spans="5:29">
      <c r="F29" s="62" t="s">
        <v>52</v>
      </c>
      <c r="G29" s="62"/>
      <c r="V29" s="4">
        <v>1028</v>
      </c>
      <c r="W29" s="4">
        <v>20</v>
      </c>
      <c r="X29" s="4" t="s">
        <v>85</v>
      </c>
      <c r="Y29" s="4">
        <v>13</v>
      </c>
      <c r="Z29" s="5">
        <v>92</v>
      </c>
      <c r="AA29" s="4">
        <v>7.3</v>
      </c>
      <c r="AB29" s="4">
        <v>83</v>
      </c>
      <c r="AC29" s="4" t="s">
        <v>84</v>
      </c>
    </row>
    <row r="30" spans="5:29">
      <c r="F30" t="s">
        <v>14</v>
      </c>
      <c r="G30" t="s">
        <v>15</v>
      </c>
      <c r="V30" s="4">
        <v>1029</v>
      </c>
      <c r="W30" s="4">
        <v>21</v>
      </c>
      <c r="X30" s="4" t="s">
        <v>83</v>
      </c>
      <c r="Y30" s="4">
        <v>11</v>
      </c>
      <c r="Z30" s="5">
        <v>88</v>
      </c>
      <c r="AA30" s="4">
        <v>7</v>
      </c>
      <c r="AB30" s="4">
        <v>76</v>
      </c>
      <c r="AC30" s="4" t="s">
        <v>86</v>
      </c>
    </row>
    <row r="31" spans="5:29">
      <c r="F31" t="s">
        <v>31</v>
      </c>
      <c r="G31" t="e">
        <f>VLOOKUP(F23,F18:K32H27,3,0)</f>
        <v>#NAME?</v>
      </c>
      <c r="J31" t="s">
        <v>14</v>
      </c>
      <c r="K31" t="s">
        <v>15</v>
      </c>
      <c r="V31" s="4">
        <v>1030</v>
      </c>
      <c r="W31" s="4">
        <v>22</v>
      </c>
      <c r="X31" s="4" t="s">
        <v>85</v>
      </c>
      <c r="Y31" s="4">
        <v>7</v>
      </c>
      <c r="Z31" s="5">
        <v>75</v>
      </c>
      <c r="AA31" s="4">
        <v>6</v>
      </c>
      <c r="AB31" s="4">
        <v>60</v>
      </c>
      <c r="AC31" s="4" t="s">
        <v>87</v>
      </c>
    </row>
    <row r="32" spans="5:29">
      <c r="F32" t="s">
        <v>27</v>
      </c>
      <c r="G32">
        <f>VLOOKUP(F19,F18:H27,3,0)</f>
        <v>50000</v>
      </c>
      <c r="J32" t="s">
        <v>29</v>
      </c>
      <c r="K32">
        <f>HLOOKUP(N26,K26:T28,3,0)</f>
        <v>50000</v>
      </c>
    </row>
    <row r="33" spans="5:14">
      <c r="F33" t="s">
        <v>33</v>
      </c>
      <c r="G33">
        <f>VLOOKUP(F25,F18:H27,3,0)</f>
        <v>40000</v>
      </c>
      <c r="J33" t="s">
        <v>34</v>
      </c>
      <c r="K33">
        <f>HLOOKUP(S26,K26:T28,3,0)</f>
        <v>60000</v>
      </c>
    </row>
    <row r="34" spans="5:14">
      <c r="F34" t="s">
        <v>29</v>
      </c>
      <c r="G34">
        <f>VLOOKUP(F21,F18:H27,3,0)</f>
        <v>50000</v>
      </c>
      <c r="J34" t="s">
        <v>27</v>
      </c>
      <c r="K34">
        <f>HLOOKUP(L26,K26:T28,3,0)</f>
        <v>50000</v>
      </c>
    </row>
    <row r="36" spans="5:14">
      <c r="J36" t="s">
        <v>38</v>
      </c>
      <c r="K36" t="s">
        <v>25</v>
      </c>
      <c r="M36">
        <f>_xlfn.XLOOKUP(F22,F18:F27,H18:H27)</f>
        <v>45000</v>
      </c>
    </row>
    <row r="37" spans="5:14">
      <c r="E37" t="s">
        <v>14</v>
      </c>
      <c r="F37" t="s">
        <v>15</v>
      </c>
      <c r="J37" t="s">
        <v>26</v>
      </c>
      <c r="K37">
        <v>10</v>
      </c>
      <c r="M37" t="str" cm="1">
        <f t="array" ref="M37:N37">_xlfn.XLOOKUP(J43,F18:F27,G18:H27,"Not found")</f>
        <v>Mobile</v>
      </c>
      <c r="N37">
        <v>10000</v>
      </c>
    </row>
    <row r="38" spans="5:14">
      <c r="E38" t="s">
        <v>51</v>
      </c>
      <c r="F38">
        <f>INDEX(F18:H27,2,3)</f>
        <v>50000</v>
      </c>
      <c r="J38" t="s">
        <v>39</v>
      </c>
      <c r="K38">
        <v>25</v>
      </c>
    </row>
    <row r="39" spans="5:14">
      <c r="E39" t="s">
        <v>51</v>
      </c>
      <c r="F39">
        <f>INDEX(F18:H27,3,3)</f>
        <v>120000</v>
      </c>
      <c r="J39" t="s">
        <v>40</v>
      </c>
      <c r="K39">
        <v>5</v>
      </c>
    </row>
    <row r="42" spans="5:14">
      <c r="J42" t="s">
        <v>14</v>
      </c>
      <c r="K42" t="s">
        <v>15</v>
      </c>
    </row>
    <row r="43" spans="5:14">
      <c r="J43" t="s">
        <v>26</v>
      </c>
      <c r="K43">
        <f t="shared" ref="K43:K44" si="0">MATCH(J43,J37:J39,1)</f>
        <v>1</v>
      </c>
    </row>
    <row r="44" spans="5:14" ht="10.5" customHeight="1">
      <c r="J44" t="s">
        <v>40</v>
      </c>
      <c r="K44">
        <f t="shared" si="0"/>
        <v>2</v>
      </c>
    </row>
    <row r="47" spans="5:14">
      <c r="E47" t="s">
        <v>21</v>
      </c>
      <c r="F47" t="s">
        <v>53</v>
      </c>
      <c r="G47" t="s">
        <v>54</v>
      </c>
    </row>
    <row r="48" spans="5:14">
      <c r="E48" t="s">
        <v>55</v>
      </c>
      <c r="F48">
        <v>90</v>
      </c>
      <c r="G48" t="str">
        <f>IF(F48&lt;35,"Fail","Pass")</f>
        <v>Pass</v>
      </c>
    </row>
    <row r="49" spans="5:9">
      <c r="E49" t="s">
        <v>56</v>
      </c>
      <c r="F49">
        <v>45</v>
      </c>
      <c r="G49" t="str">
        <f t="shared" ref="G49:G54" si="1">IF(F49&lt;35,"Fail","Pass")</f>
        <v>Pass</v>
      </c>
    </row>
    <row r="50" spans="5:9">
      <c r="E50" t="s">
        <v>57</v>
      </c>
      <c r="F50">
        <v>60</v>
      </c>
      <c r="G50" t="str">
        <f t="shared" si="1"/>
        <v>Pass</v>
      </c>
    </row>
    <row r="51" spans="5:9">
      <c r="E51" t="s">
        <v>58</v>
      </c>
      <c r="F51">
        <v>30</v>
      </c>
      <c r="G51" t="str">
        <f t="shared" si="1"/>
        <v>Fail</v>
      </c>
    </row>
    <row r="52" spans="5:9">
      <c r="E52" t="s">
        <v>59</v>
      </c>
      <c r="F52">
        <v>80</v>
      </c>
      <c r="G52" t="str">
        <f t="shared" si="1"/>
        <v>Pass</v>
      </c>
    </row>
    <row r="53" spans="5:9">
      <c r="E53" t="s">
        <v>60</v>
      </c>
      <c r="F53">
        <v>55</v>
      </c>
      <c r="G53" t="str">
        <f t="shared" si="1"/>
        <v>Pass</v>
      </c>
    </row>
    <row r="54" spans="5:9">
      <c r="E54" t="s">
        <v>61</v>
      </c>
      <c r="F54">
        <v>78</v>
      </c>
      <c r="G54" t="str">
        <f t="shared" si="1"/>
        <v>Pass</v>
      </c>
    </row>
    <row r="57" spans="5:9">
      <c r="E57" t="s">
        <v>62</v>
      </c>
      <c r="F57" t="s">
        <v>63</v>
      </c>
    </row>
    <row r="58" spans="5:9">
      <c r="E58">
        <v>78</v>
      </c>
      <c r="F58" t="str">
        <f>IF(E58&gt;=80,"Above 80",IF(E58&gt;=70,"Above 70",IF(E58&gt;=60,"Above 60",IF(E58&gt;=50,"Above 50","Under 50"))))</f>
        <v>Above 70</v>
      </c>
      <c r="G58" t="str" cm="1">
        <f t="array" ref="G58">_xlfn.IFS(E58&gt;=80,"Above 80",E58&gt;=70,"Above 70",E58&gt;=60,"Above 60",E58&gt;=50,"Above 50")</f>
        <v>Above 70</v>
      </c>
      <c r="H58" t="b">
        <v>1</v>
      </c>
      <c r="I58" t="b">
        <v>1</v>
      </c>
    </row>
    <row r="59" spans="5:9">
      <c r="E59">
        <v>55</v>
      </c>
      <c r="F59" t="str">
        <f t="shared" ref="F59:F64" si="2">IF(E59&gt;=80,"Above 80",IF(E59&gt;=70,"Above 70",IF(E59&gt;=60,"Above 60",IF(E59&gt;=50,"Above 50","Under 50"))))</f>
        <v>Above 50</v>
      </c>
      <c r="G59" t="str" cm="1">
        <f t="array" ref="G59">_xlfn.IFS(E59&gt;=80,"Above 80",E59&gt;=70,"Above 70",E59&gt;=60,"Above 60",E59&gt;=50,"Above 50")</f>
        <v>Above 50</v>
      </c>
      <c r="H59" t="b">
        <v>0</v>
      </c>
      <c r="I59" t="b">
        <v>0</v>
      </c>
    </row>
    <row r="60" spans="5:9">
      <c r="E60">
        <v>78</v>
      </c>
      <c r="F60" t="str">
        <f t="shared" si="2"/>
        <v>Above 70</v>
      </c>
      <c r="G60" t="str" cm="1">
        <f t="array" ref="G60">_xlfn.IFS(E60&gt;=80,"Above 80",E60&gt;=70,"Above 70",E60&gt;=60,"Above 60",E60&gt;=50,"Above 50")</f>
        <v>Above 70</v>
      </c>
      <c r="H60" t="b">
        <v>1</v>
      </c>
      <c r="I60" t="b">
        <v>0</v>
      </c>
    </row>
    <row r="61" spans="5:9">
      <c r="E61">
        <v>80</v>
      </c>
      <c r="F61" t="str">
        <f t="shared" si="2"/>
        <v>Above 80</v>
      </c>
      <c r="G61" t="str" cm="1">
        <f t="array" ref="G61">_xlfn.IFS(E61&gt;=80,"Above 80",E61&gt;=70,"Above 70",E61&gt;=60,"Above 60",E61&gt;=50,"Above 50")</f>
        <v>Above 80</v>
      </c>
      <c r="H61" t="b">
        <v>0</v>
      </c>
      <c r="I61" t="b">
        <v>1</v>
      </c>
    </row>
    <row r="62" spans="5:9">
      <c r="E62">
        <v>89</v>
      </c>
      <c r="F62" t="str">
        <f t="shared" si="2"/>
        <v>Above 80</v>
      </c>
      <c r="G62" t="str" cm="1">
        <f t="array" ref="G62">_xlfn.IFS(E62&gt;=80,"Above 80",E62&gt;=70,"Above 70",E62&gt;=60,"Above 60",E62&gt;=50,"Above 50")</f>
        <v>Above 80</v>
      </c>
    </row>
    <row r="63" spans="5:9">
      <c r="E63">
        <v>56</v>
      </c>
      <c r="F63" t="str">
        <f t="shared" si="2"/>
        <v>Above 50</v>
      </c>
      <c r="G63" t="str" cm="1">
        <f t="array" ref="G63">_xlfn.IFS(E63&gt;=80,"Above 80",E63&gt;=70,"Above 70",E63&gt;=60,"Above 60",E63&gt;=50,"Above 50")</f>
        <v>Above 50</v>
      </c>
    </row>
    <row r="64" spans="5:9">
      <c r="E64">
        <v>75</v>
      </c>
      <c r="F64" t="str">
        <f t="shared" si="2"/>
        <v>Above 70</v>
      </c>
      <c r="G64" t="str" cm="1">
        <f t="array" ref="G64">_xlfn.IFS(E64&gt;=80,"Above 80",E64&gt;=70,"Above 70",E64&gt;=60,"Above 60",E64&gt;=50,"Above 50")</f>
        <v>Above 70</v>
      </c>
    </row>
    <row r="66" spans="1:10">
      <c r="D66" t="s">
        <v>64</v>
      </c>
      <c r="E66" t="s">
        <v>65</v>
      </c>
      <c r="F66" t="s">
        <v>66</v>
      </c>
      <c r="G66" t="s">
        <v>67</v>
      </c>
      <c r="H66" t="s">
        <v>68</v>
      </c>
      <c r="I66" t="s">
        <v>69</v>
      </c>
      <c r="J66" t="s">
        <v>70</v>
      </c>
    </row>
    <row r="67" spans="1:10">
      <c r="D67">
        <v>60</v>
      </c>
      <c r="E67">
        <v>89</v>
      </c>
      <c r="F67" t="b">
        <f>OR(D67&gt;=35,E67&gt;=35)</f>
        <v>1</v>
      </c>
      <c r="G67" t="b">
        <f>AND(D67&gt;=35,E67&gt;=35)</f>
        <v>1</v>
      </c>
      <c r="H67" t="str">
        <f>IF(F67,"Pass","Fail")</f>
        <v>Pass</v>
      </c>
      <c r="I67" t="str">
        <f>IF(G67,"Pass","Fail")</f>
        <v>Pass</v>
      </c>
      <c r="J67" t="b">
        <f>_xlfn.XOR(D67&gt;=35,E67&gt;=35)</f>
        <v>0</v>
      </c>
    </row>
    <row r="68" spans="1:10">
      <c r="D68">
        <v>55</v>
      </c>
      <c r="E68">
        <v>67</v>
      </c>
      <c r="F68" t="b">
        <f t="shared" ref="F68:F72" si="3">OR(D68&gt;=35,E68&gt;=35)</f>
        <v>1</v>
      </c>
      <c r="G68" t="b">
        <f t="shared" ref="G68:G72" si="4">AND(D68&gt;=35,E68&gt;=35)</f>
        <v>1</v>
      </c>
      <c r="H68" t="str">
        <f t="shared" ref="H68:H72" si="5">IF(F68,"Pass","Fail")</f>
        <v>Pass</v>
      </c>
      <c r="I68" t="str">
        <f t="shared" ref="I68:I72" si="6">IF(G68,"Pass","Fail")</f>
        <v>Pass</v>
      </c>
      <c r="J68" t="b">
        <f t="shared" ref="J68:J72" si="7">_xlfn.XOR(D68&gt;=35,E68&gt;=35)</f>
        <v>0</v>
      </c>
    </row>
    <row r="69" spans="1:10">
      <c r="D69">
        <v>47</v>
      </c>
      <c r="E69">
        <v>56</v>
      </c>
      <c r="F69" t="b">
        <f t="shared" si="3"/>
        <v>1</v>
      </c>
      <c r="G69" t="b">
        <f t="shared" si="4"/>
        <v>1</v>
      </c>
      <c r="H69" t="str">
        <f t="shared" si="5"/>
        <v>Pass</v>
      </c>
      <c r="I69" t="str">
        <f t="shared" si="6"/>
        <v>Pass</v>
      </c>
      <c r="J69" t="b">
        <f t="shared" si="7"/>
        <v>0</v>
      </c>
    </row>
    <row r="70" spans="1:10">
      <c r="D70">
        <v>78</v>
      </c>
      <c r="E70">
        <v>86</v>
      </c>
      <c r="F70" t="b">
        <f t="shared" si="3"/>
        <v>1</v>
      </c>
      <c r="G70" t="b">
        <f t="shared" si="4"/>
        <v>1</v>
      </c>
      <c r="H70" t="str">
        <f t="shared" si="5"/>
        <v>Pass</v>
      </c>
      <c r="I70" t="str">
        <f t="shared" si="6"/>
        <v>Pass</v>
      </c>
      <c r="J70" t="b">
        <f t="shared" si="7"/>
        <v>0</v>
      </c>
    </row>
    <row r="71" spans="1:10">
      <c r="D71">
        <v>33</v>
      </c>
      <c r="E71">
        <v>89</v>
      </c>
      <c r="F71" t="b">
        <f t="shared" si="3"/>
        <v>1</v>
      </c>
      <c r="G71" t="b">
        <f t="shared" si="4"/>
        <v>0</v>
      </c>
      <c r="H71" t="str">
        <f t="shared" si="5"/>
        <v>Pass</v>
      </c>
      <c r="I71" t="str">
        <f t="shared" si="6"/>
        <v>Fail</v>
      </c>
      <c r="J71" t="b">
        <f t="shared" si="7"/>
        <v>1</v>
      </c>
    </row>
    <row r="72" spans="1:10">
      <c r="D72">
        <v>57</v>
      </c>
      <c r="E72">
        <v>56</v>
      </c>
      <c r="F72" t="b">
        <f t="shared" si="3"/>
        <v>1</v>
      </c>
      <c r="G72" t="b">
        <f t="shared" si="4"/>
        <v>1</v>
      </c>
      <c r="H72" t="str">
        <f t="shared" si="5"/>
        <v>Pass</v>
      </c>
      <c r="I72" t="str">
        <f t="shared" si="6"/>
        <v>Pass</v>
      </c>
      <c r="J72" t="b">
        <f t="shared" si="7"/>
        <v>0</v>
      </c>
    </row>
    <row r="75" spans="1:10">
      <c r="A75" t="s">
        <v>112</v>
      </c>
      <c r="B75" s="6" t="s">
        <v>71</v>
      </c>
      <c r="C75" s="6" t="s">
        <v>72</v>
      </c>
      <c r="D75" s="6" t="s">
        <v>73</v>
      </c>
      <c r="E75" s="6" t="s">
        <v>74</v>
      </c>
      <c r="F75" s="6" t="s">
        <v>75</v>
      </c>
      <c r="G75" s="14" t="s">
        <v>62</v>
      </c>
      <c r="H75" s="6" t="s">
        <v>76</v>
      </c>
    </row>
    <row r="76" spans="1:10">
      <c r="A76">
        <v>1</v>
      </c>
      <c r="B76">
        <v>100001</v>
      </c>
      <c r="C76" t="s">
        <v>88</v>
      </c>
      <c r="D76" s="7">
        <v>729</v>
      </c>
      <c r="E76" t="s">
        <v>89</v>
      </c>
      <c r="F76" t="s">
        <v>83</v>
      </c>
      <c r="G76" s="15">
        <v>19</v>
      </c>
      <c r="H76" s="8">
        <v>194164</v>
      </c>
    </row>
    <row r="77" spans="1:10">
      <c r="A77">
        <v>2</v>
      </c>
      <c r="B77">
        <v>100002</v>
      </c>
      <c r="C77" t="s">
        <v>90</v>
      </c>
      <c r="D77" s="7">
        <v>744</v>
      </c>
      <c r="E77" t="s">
        <v>91</v>
      </c>
      <c r="F77" t="s">
        <v>85</v>
      </c>
      <c r="G77" s="15">
        <v>53</v>
      </c>
      <c r="H77" s="8">
        <v>195018</v>
      </c>
      <c r="I77" t="s">
        <v>14</v>
      </c>
      <c r="J77" t="s">
        <v>15</v>
      </c>
    </row>
    <row r="78" spans="1:10">
      <c r="A78">
        <v>3</v>
      </c>
      <c r="B78">
        <v>100003</v>
      </c>
      <c r="C78" t="s">
        <v>92</v>
      </c>
      <c r="D78" s="7">
        <v>789</v>
      </c>
      <c r="E78" t="s">
        <v>93</v>
      </c>
      <c r="F78" t="s">
        <v>83</v>
      </c>
      <c r="G78" s="15">
        <v>30</v>
      </c>
      <c r="H78" s="8">
        <v>178650</v>
      </c>
      <c r="I78" t="s">
        <v>17</v>
      </c>
      <c r="J78">
        <f>COUNT(B75:B177)</f>
        <v>100</v>
      </c>
    </row>
    <row r="79" spans="1:10">
      <c r="A79">
        <v>4</v>
      </c>
      <c r="B79">
        <v>100004</v>
      </c>
      <c r="C79" t="s">
        <v>94</v>
      </c>
      <c r="D79" s="7">
        <v>576</v>
      </c>
      <c r="E79" t="s">
        <v>95</v>
      </c>
      <c r="F79" t="s">
        <v>83</v>
      </c>
      <c r="G79" s="15">
        <v>48</v>
      </c>
      <c r="H79" s="8">
        <v>25710</v>
      </c>
      <c r="I79" t="s">
        <v>113</v>
      </c>
      <c r="J79">
        <f>COUNTA(B75:B179)</f>
        <v>101</v>
      </c>
    </row>
    <row r="80" spans="1:10">
      <c r="A80">
        <v>5</v>
      </c>
      <c r="B80">
        <v>100005</v>
      </c>
      <c r="C80" t="s">
        <v>96</v>
      </c>
      <c r="D80" s="7">
        <v>591</v>
      </c>
      <c r="E80" t="s">
        <v>89</v>
      </c>
      <c r="F80" t="s">
        <v>85</v>
      </c>
      <c r="G80" s="15">
        <v>28</v>
      </c>
      <c r="H80" s="8">
        <v>156201</v>
      </c>
      <c r="I80" t="s">
        <v>114</v>
      </c>
      <c r="J80">
        <f>COUNTIFS(E76:E175,E79,F76:F175,F134)</f>
        <v>8</v>
      </c>
    </row>
    <row r="81" spans="1:10">
      <c r="A81">
        <v>6</v>
      </c>
      <c r="B81">
        <v>100006</v>
      </c>
      <c r="C81" t="s">
        <v>97</v>
      </c>
      <c r="D81" s="7">
        <v>692</v>
      </c>
      <c r="E81" t="s">
        <v>91</v>
      </c>
      <c r="F81" t="s">
        <v>83</v>
      </c>
      <c r="G81" s="15">
        <v>29</v>
      </c>
      <c r="H81" s="8">
        <v>213952</v>
      </c>
      <c r="I81" t="s">
        <v>115</v>
      </c>
      <c r="J81">
        <f>COUNTIF(E75:G175,F78)</f>
        <v>55</v>
      </c>
    </row>
    <row r="82" spans="1:10">
      <c r="A82">
        <v>7</v>
      </c>
      <c r="B82">
        <v>100007</v>
      </c>
      <c r="C82" t="s">
        <v>98</v>
      </c>
      <c r="D82" s="7">
        <v>437</v>
      </c>
      <c r="E82" t="s">
        <v>93</v>
      </c>
      <c r="F82" t="s">
        <v>85</v>
      </c>
      <c r="G82" s="15">
        <v>58</v>
      </c>
      <c r="H82" s="8">
        <v>176103</v>
      </c>
      <c r="I82" t="s">
        <v>119</v>
      </c>
      <c r="J82">
        <f>_xlfn.STDEV.P(G76:G175)</f>
        <v>11.647227137821259</v>
      </c>
    </row>
    <row r="83" spans="1:10">
      <c r="A83">
        <v>8</v>
      </c>
      <c r="B83">
        <v>100008</v>
      </c>
      <c r="C83" t="s">
        <v>99</v>
      </c>
      <c r="D83" s="7">
        <v>416</v>
      </c>
      <c r="E83" t="s">
        <v>95</v>
      </c>
      <c r="F83" t="s">
        <v>83</v>
      </c>
      <c r="G83" s="15">
        <v>46</v>
      </c>
      <c r="H83" s="8">
        <v>57283</v>
      </c>
      <c r="I83" t="s">
        <v>118</v>
      </c>
      <c r="J83">
        <f>_xlfn.STDEV.S(G76:G175)</f>
        <v>11.705903716423688</v>
      </c>
    </row>
    <row r="84" spans="1:10">
      <c r="A84">
        <v>9</v>
      </c>
      <c r="B84">
        <v>100009</v>
      </c>
      <c r="C84" t="s">
        <v>100</v>
      </c>
      <c r="D84" s="7">
        <v>368</v>
      </c>
      <c r="E84" t="s">
        <v>89</v>
      </c>
      <c r="F84" t="s">
        <v>85</v>
      </c>
      <c r="G84" s="15">
        <v>18</v>
      </c>
      <c r="H84" s="8">
        <v>227626</v>
      </c>
      <c r="I84" t="s">
        <v>116</v>
      </c>
      <c r="J84" s="7">
        <f>AVERAGE(G76:G175)</f>
        <v>37.39</v>
      </c>
    </row>
    <row r="85" spans="1:10">
      <c r="A85">
        <v>10</v>
      </c>
      <c r="B85">
        <v>100010</v>
      </c>
      <c r="C85" t="s">
        <v>101</v>
      </c>
      <c r="D85" s="7">
        <v>476</v>
      </c>
      <c r="E85" t="s">
        <v>91</v>
      </c>
      <c r="F85" t="s">
        <v>85</v>
      </c>
      <c r="G85" s="15">
        <v>39</v>
      </c>
      <c r="H85" s="8">
        <v>260233</v>
      </c>
      <c r="I85" t="s">
        <v>117</v>
      </c>
      <c r="J85" s="7">
        <f>MEDIAN(G76:G175)</f>
        <v>37</v>
      </c>
    </row>
    <row r="86" spans="1:10">
      <c r="A86">
        <v>11</v>
      </c>
      <c r="B86">
        <v>100011</v>
      </c>
      <c r="C86" t="s">
        <v>102</v>
      </c>
      <c r="D86" s="7">
        <v>574</v>
      </c>
      <c r="E86" t="s">
        <v>93</v>
      </c>
      <c r="F86" t="s">
        <v>83</v>
      </c>
      <c r="G86" s="15">
        <v>30</v>
      </c>
      <c r="H86" s="8">
        <v>168272</v>
      </c>
      <c r="I86" t="s">
        <v>120</v>
      </c>
      <c r="J86">
        <f>MODE(G76:G175)</f>
        <v>30</v>
      </c>
    </row>
    <row r="87" spans="1:10">
      <c r="A87">
        <v>12</v>
      </c>
      <c r="B87">
        <v>100012</v>
      </c>
      <c r="C87" t="s">
        <v>103</v>
      </c>
      <c r="D87" s="7">
        <v>797</v>
      </c>
      <c r="E87" t="s">
        <v>95</v>
      </c>
      <c r="F87" t="s">
        <v>83</v>
      </c>
      <c r="G87" s="7">
        <v>27</v>
      </c>
      <c r="H87" s="8">
        <v>68503</v>
      </c>
      <c r="I87" t="s">
        <v>121</v>
      </c>
      <c r="J87">
        <f>_xlfn.VAR.P(G76:G175)</f>
        <v>135.65790000000001</v>
      </c>
    </row>
    <row r="88" spans="1:10">
      <c r="A88">
        <v>13</v>
      </c>
      <c r="B88">
        <v>100013</v>
      </c>
      <c r="C88" t="s">
        <v>104</v>
      </c>
      <c r="D88" s="7">
        <v>493</v>
      </c>
      <c r="E88" t="s">
        <v>89</v>
      </c>
      <c r="F88" t="s">
        <v>85</v>
      </c>
      <c r="G88" s="7">
        <v>34</v>
      </c>
      <c r="H88" s="8">
        <v>22604</v>
      </c>
      <c r="I88" t="s">
        <v>122</v>
      </c>
      <c r="J88">
        <f>_xlfn.VAR.S(G76:G175)</f>
        <v>137.02818181818191</v>
      </c>
    </row>
    <row r="89" spans="1:10">
      <c r="A89">
        <v>14</v>
      </c>
      <c r="B89">
        <v>100014</v>
      </c>
      <c r="C89" t="s">
        <v>105</v>
      </c>
      <c r="D89" s="7">
        <v>803</v>
      </c>
      <c r="E89" t="s">
        <v>91</v>
      </c>
      <c r="F89" t="s">
        <v>85</v>
      </c>
      <c r="G89" s="7">
        <v>28</v>
      </c>
      <c r="H89" s="8">
        <v>164365</v>
      </c>
      <c r="I89" t="s">
        <v>123</v>
      </c>
      <c r="J89">
        <f>COUNTBLANK(G76:G695)</f>
        <v>515</v>
      </c>
    </row>
    <row r="90" spans="1:10">
      <c r="A90">
        <v>15</v>
      </c>
      <c r="B90">
        <v>100015</v>
      </c>
      <c r="C90" t="s">
        <v>106</v>
      </c>
      <c r="D90" s="7">
        <v>442</v>
      </c>
      <c r="E90" t="s">
        <v>93</v>
      </c>
      <c r="F90" t="s">
        <v>83</v>
      </c>
      <c r="G90" s="7">
        <v>22</v>
      </c>
      <c r="H90" s="8">
        <v>180396</v>
      </c>
      <c r="I90" t="s">
        <v>124</v>
      </c>
      <c r="J90">
        <f>CORREL(D76:D175,G76:G175)</f>
        <v>-8.3913334776442056E-2</v>
      </c>
    </row>
    <row r="91" spans="1:10">
      <c r="A91">
        <v>16</v>
      </c>
      <c r="B91">
        <v>100016</v>
      </c>
      <c r="C91" t="s">
        <v>107</v>
      </c>
      <c r="D91" s="7">
        <v>407</v>
      </c>
      <c r="E91" t="s">
        <v>95</v>
      </c>
      <c r="F91" t="s">
        <v>83</v>
      </c>
      <c r="G91" s="7">
        <v>42</v>
      </c>
      <c r="H91" s="8">
        <v>13669</v>
      </c>
    </row>
    <row r="92" spans="1:10">
      <c r="A92">
        <v>17</v>
      </c>
      <c r="B92">
        <v>100017</v>
      </c>
      <c r="C92" t="s">
        <v>108</v>
      </c>
      <c r="D92" s="7">
        <v>472</v>
      </c>
      <c r="E92" t="s">
        <v>89</v>
      </c>
      <c r="F92" t="s">
        <v>83</v>
      </c>
      <c r="G92" s="7">
        <v>51</v>
      </c>
      <c r="H92" s="8">
        <v>18758</v>
      </c>
    </row>
    <row r="93" spans="1:10">
      <c r="A93">
        <v>18</v>
      </c>
      <c r="B93">
        <v>100018</v>
      </c>
      <c r="C93" t="s">
        <v>109</v>
      </c>
      <c r="D93" s="7">
        <v>833</v>
      </c>
      <c r="E93" t="s">
        <v>91</v>
      </c>
      <c r="F93" t="s">
        <v>83</v>
      </c>
      <c r="G93" s="7">
        <v>34</v>
      </c>
      <c r="H93" s="8">
        <v>129221</v>
      </c>
    </row>
    <row r="94" spans="1:10">
      <c r="A94">
        <v>19</v>
      </c>
      <c r="B94">
        <v>100019</v>
      </c>
      <c r="C94" t="s">
        <v>110</v>
      </c>
      <c r="D94" s="7">
        <v>659</v>
      </c>
      <c r="E94" t="s">
        <v>93</v>
      </c>
      <c r="F94" t="s">
        <v>85</v>
      </c>
      <c r="G94" s="7">
        <v>19</v>
      </c>
      <c r="H94" s="8">
        <v>217058</v>
      </c>
    </row>
    <row r="95" spans="1:10">
      <c r="A95">
        <v>20</v>
      </c>
      <c r="B95">
        <v>100020</v>
      </c>
      <c r="C95" t="s">
        <v>111</v>
      </c>
      <c r="D95" s="7">
        <v>522</v>
      </c>
      <c r="E95" t="s">
        <v>95</v>
      </c>
      <c r="F95" t="s">
        <v>85</v>
      </c>
      <c r="G95" s="7">
        <v>23</v>
      </c>
      <c r="H95" s="8">
        <v>50584</v>
      </c>
    </row>
    <row r="96" spans="1:10">
      <c r="A96">
        <v>21</v>
      </c>
      <c r="B96">
        <v>100021</v>
      </c>
      <c r="C96" t="s">
        <v>88</v>
      </c>
      <c r="D96" s="7">
        <v>674</v>
      </c>
      <c r="E96" t="s">
        <v>89</v>
      </c>
      <c r="F96" t="s">
        <v>85</v>
      </c>
      <c r="G96" s="7">
        <v>24</v>
      </c>
      <c r="H96" s="8">
        <v>171441</v>
      </c>
    </row>
    <row r="97" spans="1:8">
      <c r="A97">
        <v>22</v>
      </c>
      <c r="B97">
        <v>100022</v>
      </c>
      <c r="C97" t="s">
        <v>90</v>
      </c>
      <c r="D97" s="7">
        <v>637</v>
      </c>
      <c r="E97" t="s">
        <v>91</v>
      </c>
      <c r="F97" t="s">
        <v>83</v>
      </c>
      <c r="G97" s="7">
        <v>57</v>
      </c>
      <c r="H97" s="8">
        <v>62722</v>
      </c>
    </row>
    <row r="98" spans="1:8">
      <c r="A98">
        <v>23</v>
      </c>
      <c r="B98">
        <v>100023</v>
      </c>
      <c r="C98" t="s">
        <v>92</v>
      </c>
      <c r="D98" s="7">
        <v>527</v>
      </c>
      <c r="E98" t="s">
        <v>93</v>
      </c>
      <c r="F98" t="s">
        <v>83</v>
      </c>
      <c r="G98" s="7">
        <v>53</v>
      </c>
      <c r="H98" s="8">
        <v>119346</v>
      </c>
    </row>
    <row r="99" spans="1:8">
      <c r="A99">
        <v>24</v>
      </c>
      <c r="B99">
        <v>100024</v>
      </c>
      <c r="C99" t="s">
        <v>94</v>
      </c>
      <c r="D99" s="7">
        <v>406</v>
      </c>
      <c r="E99" t="s">
        <v>95</v>
      </c>
      <c r="F99" t="s">
        <v>83</v>
      </c>
      <c r="G99" s="7">
        <v>19</v>
      </c>
      <c r="H99" s="8">
        <v>112944</v>
      </c>
    </row>
    <row r="100" spans="1:8">
      <c r="A100">
        <v>25</v>
      </c>
      <c r="B100">
        <v>100025</v>
      </c>
      <c r="C100" t="s">
        <v>96</v>
      </c>
      <c r="D100" s="7">
        <v>648</v>
      </c>
      <c r="E100" t="s">
        <v>89</v>
      </c>
      <c r="F100" t="s">
        <v>83</v>
      </c>
      <c r="G100" s="7">
        <v>56</v>
      </c>
      <c r="H100" s="8">
        <v>172469</v>
      </c>
    </row>
    <row r="101" spans="1:8">
      <c r="A101">
        <v>26</v>
      </c>
      <c r="B101">
        <v>100026</v>
      </c>
      <c r="C101" t="s">
        <v>97</v>
      </c>
      <c r="D101" s="7">
        <v>820</v>
      </c>
      <c r="E101" t="s">
        <v>91</v>
      </c>
      <c r="F101" t="s">
        <v>85</v>
      </c>
      <c r="G101" s="7">
        <v>18</v>
      </c>
      <c r="H101" s="8">
        <v>272655</v>
      </c>
    </row>
    <row r="102" spans="1:8">
      <c r="A102">
        <v>27</v>
      </c>
      <c r="B102">
        <v>100027</v>
      </c>
      <c r="C102" t="s">
        <v>98</v>
      </c>
      <c r="D102" s="7">
        <v>693</v>
      </c>
      <c r="E102" t="s">
        <v>93</v>
      </c>
      <c r="F102" t="s">
        <v>83</v>
      </c>
      <c r="G102" s="7">
        <v>39</v>
      </c>
      <c r="H102" s="8">
        <v>146244</v>
      </c>
    </row>
    <row r="103" spans="1:8">
      <c r="A103">
        <v>28</v>
      </c>
      <c r="B103">
        <v>100028</v>
      </c>
      <c r="C103" t="s">
        <v>99</v>
      </c>
      <c r="D103" s="7">
        <v>548</v>
      </c>
      <c r="E103" t="s">
        <v>95</v>
      </c>
      <c r="F103" t="s">
        <v>85</v>
      </c>
      <c r="G103" s="7">
        <v>54</v>
      </c>
      <c r="H103" s="8">
        <v>241615</v>
      </c>
    </row>
    <row r="104" spans="1:8">
      <c r="A104">
        <v>29</v>
      </c>
      <c r="B104">
        <v>100029</v>
      </c>
      <c r="C104" t="s">
        <v>100</v>
      </c>
      <c r="D104" s="7">
        <v>576</v>
      </c>
      <c r="E104" t="s">
        <v>89</v>
      </c>
      <c r="F104" t="s">
        <v>85</v>
      </c>
      <c r="G104" s="7">
        <v>28</v>
      </c>
      <c r="H104" s="8">
        <v>151072</v>
      </c>
    </row>
    <row r="105" spans="1:8">
      <c r="A105">
        <v>30</v>
      </c>
      <c r="B105">
        <v>100030</v>
      </c>
      <c r="C105" t="s">
        <v>101</v>
      </c>
      <c r="D105" s="7">
        <v>468</v>
      </c>
      <c r="E105" t="s">
        <v>91</v>
      </c>
      <c r="F105" t="s">
        <v>85</v>
      </c>
      <c r="G105" s="7">
        <v>29</v>
      </c>
      <c r="H105" s="8">
        <v>135620</v>
      </c>
    </row>
    <row r="106" spans="1:8">
      <c r="A106">
        <v>31</v>
      </c>
      <c r="B106">
        <v>100031</v>
      </c>
      <c r="C106" t="s">
        <v>102</v>
      </c>
      <c r="D106" s="7">
        <v>790</v>
      </c>
      <c r="E106" t="s">
        <v>93</v>
      </c>
      <c r="F106" t="s">
        <v>83</v>
      </c>
      <c r="G106" s="7">
        <v>44</v>
      </c>
      <c r="H106" s="8">
        <v>220516</v>
      </c>
    </row>
    <row r="107" spans="1:8">
      <c r="A107">
        <v>32</v>
      </c>
      <c r="B107">
        <v>100032</v>
      </c>
      <c r="C107" t="s">
        <v>103</v>
      </c>
      <c r="D107" s="7">
        <v>476</v>
      </c>
      <c r="E107" t="s">
        <v>95</v>
      </c>
      <c r="F107" t="s">
        <v>85</v>
      </c>
      <c r="G107" s="7">
        <v>41</v>
      </c>
      <c r="H107" s="8">
        <v>191371</v>
      </c>
    </row>
    <row r="108" spans="1:8">
      <c r="A108">
        <v>33</v>
      </c>
      <c r="B108">
        <v>100033</v>
      </c>
      <c r="C108" t="s">
        <v>104</v>
      </c>
      <c r="D108" s="7">
        <v>836</v>
      </c>
      <c r="E108" t="s">
        <v>89</v>
      </c>
      <c r="F108" t="s">
        <v>85</v>
      </c>
      <c r="G108" s="7">
        <v>33</v>
      </c>
      <c r="H108" s="8">
        <v>143934</v>
      </c>
    </row>
    <row r="109" spans="1:8">
      <c r="A109">
        <v>34</v>
      </c>
      <c r="B109">
        <v>100034</v>
      </c>
      <c r="C109" t="s">
        <v>105</v>
      </c>
      <c r="D109" s="7">
        <v>597</v>
      </c>
      <c r="E109" t="s">
        <v>91</v>
      </c>
      <c r="F109" t="s">
        <v>83</v>
      </c>
      <c r="G109" s="7">
        <v>50</v>
      </c>
      <c r="H109" s="8">
        <v>266091</v>
      </c>
    </row>
    <row r="110" spans="1:8">
      <c r="A110">
        <v>35</v>
      </c>
      <c r="B110">
        <v>100035</v>
      </c>
      <c r="C110" t="s">
        <v>106</v>
      </c>
      <c r="D110" s="7">
        <v>677</v>
      </c>
      <c r="E110" t="s">
        <v>93</v>
      </c>
      <c r="F110" t="s">
        <v>85</v>
      </c>
      <c r="G110" s="7">
        <v>37</v>
      </c>
      <c r="H110" s="8">
        <v>73963</v>
      </c>
    </row>
    <row r="111" spans="1:8">
      <c r="A111">
        <v>36</v>
      </c>
      <c r="B111">
        <v>100036</v>
      </c>
      <c r="C111" t="s">
        <v>107</v>
      </c>
      <c r="D111" s="7">
        <v>587</v>
      </c>
      <c r="E111" t="s">
        <v>95</v>
      </c>
      <c r="F111" t="s">
        <v>83</v>
      </c>
      <c r="G111" s="7">
        <v>32</v>
      </c>
      <c r="H111" s="8">
        <v>194354</v>
      </c>
    </row>
    <row r="112" spans="1:8">
      <c r="A112">
        <v>37</v>
      </c>
      <c r="B112">
        <v>100037</v>
      </c>
      <c r="C112" t="s">
        <v>108</v>
      </c>
      <c r="D112" s="7">
        <v>456</v>
      </c>
      <c r="E112" t="s">
        <v>89</v>
      </c>
      <c r="F112" t="s">
        <v>83</v>
      </c>
      <c r="G112" s="7">
        <v>33</v>
      </c>
      <c r="H112" s="8">
        <v>149193</v>
      </c>
    </row>
    <row r="113" spans="1:8">
      <c r="A113">
        <v>38</v>
      </c>
      <c r="B113">
        <v>100038</v>
      </c>
      <c r="C113" t="s">
        <v>109</v>
      </c>
      <c r="D113" s="7">
        <v>846</v>
      </c>
      <c r="E113" t="s">
        <v>91</v>
      </c>
      <c r="F113" t="s">
        <v>85</v>
      </c>
      <c r="G113" s="7">
        <v>59</v>
      </c>
      <c r="H113" s="8">
        <v>232997</v>
      </c>
    </row>
    <row r="114" spans="1:8">
      <c r="A114">
        <v>39</v>
      </c>
      <c r="B114">
        <v>100039</v>
      </c>
      <c r="C114" t="s">
        <v>110</v>
      </c>
      <c r="D114" s="7">
        <v>623</v>
      </c>
      <c r="E114" t="s">
        <v>93</v>
      </c>
      <c r="F114" t="s">
        <v>83</v>
      </c>
      <c r="G114" s="7">
        <v>46</v>
      </c>
      <c r="H114" s="8">
        <v>57885</v>
      </c>
    </row>
    <row r="115" spans="1:8">
      <c r="A115">
        <v>40</v>
      </c>
      <c r="B115">
        <v>100040</v>
      </c>
      <c r="C115" t="s">
        <v>111</v>
      </c>
      <c r="D115" s="7">
        <v>364</v>
      </c>
      <c r="E115" t="s">
        <v>95</v>
      </c>
      <c r="F115" t="s">
        <v>83</v>
      </c>
      <c r="G115" s="7">
        <v>35</v>
      </c>
      <c r="H115" s="8">
        <v>201142</v>
      </c>
    </row>
    <row r="116" spans="1:8">
      <c r="A116">
        <v>41</v>
      </c>
      <c r="B116">
        <v>100041</v>
      </c>
      <c r="C116" t="s">
        <v>88</v>
      </c>
      <c r="D116" s="7">
        <v>362</v>
      </c>
      <c r="E116" t="s">
        <v>89</v>
      </c>
      <c r="F116" t="s">
        <v>85</v>
      </c>
      <c r="G116" s="7">
        <v>55</v>
      </c>
      <c r="H116" s="8">
        <v>198938</v>
      </c>
    </row>
    <row r="117" spans="1:8">
      <c r="A117">
        <v>42</v>
      </c>
      <c r="B117">
        <v>100042</v>
      </c>
      <c r="C117" t="s">
        <v>90</v>
      </c>
      <c r="D117" s="7">
        <v>443</v>
      </c>
      <c r="E117" t="s">
        <v>91</v>
      </c>
      <c r="F117" t="s">
        <v>85</v>
      </c>
      <c r="G117" s="7">
        <v>42</v>
      </c>
      <c r="H117" s="8">
        <v>160456</v>
      </c>
    </row>
    <row r="118" spans="1:8">
      <c r="A118">
        <v>43</v>
      </c>
      <c r="B118">
        <v>100043</v>
      </c>
      <c r="C118" t="s">
        <v>92</v>
      </c>
      <c r="D118" s="7">
        <v>578</v>
      </c>
      <c r="E118" t="s">
        <v>93</v>
      </c>
      <c r="F118" t="s">
        <v>83</v>
      </c>
      <c r="G118" s="7">
        <v>27</v>
      </c>
      <c r="H118" s="8">
        <v>105437</v>
      </c>
    </row>
    <row r="119" spans="1:8">
      <c r="A119">
        <v>44</v>
      </c>
      <c r="B119">
        <v>100044</v>
      </c>
      <c r="C119" t="s">
        <v>94</v>
      </c>
      <c r="D119" s="7">
        <v>844</v>
      </c>
      <c r="E119" t="s">
        <v>95</v>
      </c>
      <c r="F119" t="s">
        <v>85</v>
      </c>
      <c r="G119" s="7">
        <v>29</v>
      </c>
      <c r="H119" s="8">
        <v>128955</v>
      </c>
    </row>
    <row r="120" spans="1:8">
      <c r="A120">
        <v>45</v>
      </c>
      <c r="B120">
        <v>100045</v>
      </c>
      <c r="C120" t="s">
        <v>96</v>
      </c>
      <c r="D120" s="7">
        <v>376</v>
      </c>
      <c r="E120" t="s">
        <v>89</v>
      </c>
      <c r="F120" t="s">
        <v>85</v>
      </c>
      <c r="G120" s="7">
        <v>37</v>
      </c>
      <c r="H120" s="8">
        <v>246198</v>
      </c>
    </row>
    <row r="121" spans="1:8">
      <c r="A121">
        <v>46</v>
      </c>
      <c r="B121">
        <v>100046</v>
      </c>
      <c r="C121" t="s">
        <v>97</v>
      </c>
      <c r="D121" s="7">
        <v>529</v>
      </c>
      <c r="E121" t="s">
        <v>91</v>
      </c>
      <c r="F121" t="s">
        <v>83</v>
      </c>
      <c r="G121" s="7">
        <v>45</v>
      </c>
      <c r="H121" s="8">
        <v>216027</v>
      </c>
    </row>
    <row r="122" spans="1:8">
      <c r="A122">
        <v>47</v>
      </c>
      <c r="B122">
        <v>100047</v>
      </c>
      <c r="C122" t="s">
        <v>98</v>
      </c>
      <c r="D122" s="7">
        <v>783</v>
      </c>
      <c r="E122" t="s">
        <v>93</v>
      </c>
      <c r="F122" t="s">
        <v>85</v>
      </c>
      <c r="G122" s="7">
        <v>18</v>
      </c>
      <c r="H122" s="8">
        <v>76209</v>
      </c>
    </row>
    <row r="123" spans="1:8">
      <c r="A123">
        <v>48</v>
      </c>
      <c r="B123">
        <v>100048</v>
      </c>
      <c r="C123" t="s">
        <v>99</v>
      </c>
      <c r="D123" s="7">
        <v>576</v>
      </c>
      <c r="E123" t="s">
        <v>95</v>
      </c>
      <c r="F123" t="s">
        <v>85</v>
      </c>
      <c r="G123" s="7">
        <v>60</v>
      </c>
      <c r="H123" s="8">
        <v>139439</v>
      </c>
    </row>
    <row r="124" spans="1:8">
      <c r="A124">
        <v>49</v>
      </c>
      <c r="B124">
        <v>100049</v>
      </c>
      <c r="C124" t="s">
        <v>100</v>
      </c>
      <c r="D124" s="7">
        <v>787</v>
      </c>
      <c r="E124" t="s">
        <v>89</v>
      </c>
      <c r="F124" t="s">
        <v>83</v>
      </c>
      <c r="G124" s="7">
        <v>36</v>
      </c>
      <c r="H124" s="8">
        <v>183558</v>
      </c>
    </row>
    <row r="125" spans="1:8">
      <c r="A125">
        <v>50</v>
      </c>
      <c r="B125">
        <v>100050</v>
      </c>
      <c r="C125" t="s">
        <v>101</v>
      </c>
      <c r="D125" s="7">
        <v>710</v>
      </c>
      <c r="E125" t="s">
        <v>91</v>
      </c>
      <c r="F125" t="s">
        <v>83</v>
      </c>
      <c r="G125" s="7">
        <v>30</v>
      </c>
      <c r="H125" s="8">
        <v>175746</v>
      </c>
    </row>
    <row r="126" spans="1:8">
      <c r="A126">
        <v>51</v>
      </c>
      <c r="B126">
        <v>100051</v>
      </c>
      <c r="C126" t="s">
        <v>102</v>
      </c>
      <c r="D126" s="7">
        <v>392</v>
      </c>
      <c r="E126" t="s">
        <v>93</v>
      </c>
      <c r="F126" t="s">
        <v>83</v>
      </c>
      <c r="G126" s="7">
        <v>23</v>
      </c>
      <c r="H126" s="8">
        <v>14943</v>
      </c>
    </row>
    <row r="127" spans="1:8">
      <c r="A127">
        <v>52</v>
      </c>
      <c r="B127">
        <v>100052</v>
      </c>
      <c r="C127" t="s">
        <v>103</v>
      </c>
      <c r="D127" s="7">
        <v>549</v>
      </c>
      <c r="E127" t="s">
        <v>95</v>
      </c>
      <c r="F127" t="s">
        <v>83</v>
      </c>
      <c r="G127" s="7">
        <v>25</v>
      </c>
      <c r="H127" s="8">
        <v>53241</v>
      </c>
    </row>
    <row r="128" spans="1:8">
      <c r="A128">
        <v>53</v>
      </c>
      <c r="B128">
        <v>100053</v>
      </c>
      <c r="C128" t="s">
        <v>104</v>
      </c>
      <c r="D128" s="7">
        <v>401</v>
      </c>
      <c r="E128" t="s">
        <v>89</v>
      </c>
      <c r="F128" t="s">
        <v>83</v>
      </c>
      <c r="G128" s="7">
        <v>43</v>
      </c>
      <c r="H128" s="8">
        <v>156572</v>
      </c>
    </row>
    <row r="129" spans="1:8">
      <c r="A129">
        <v>54</v>
      </c>
      <c r="B129">
        <v>100054</v>
      </c>
      <c r="C129" t="s">
        <v>105</v>
      </c>
      <c r="D129" s="7">
        <v>620</v>
      </c>
      <c r="E129" t="s">
        <v>91</v>
      </c>
      <c r="F129" t="s">
        <v>83</v>
      </c>
      <c r="G129" s="7">
        <v>25</v>
      </c>
      <c r="H129" s="8">
        <v>191609</v>
      </c>
    </row>
    <row r="130" spans="1:8">
      <c r="A130">
        <v>55</v>
      </c>
      <c r="B130">
        <v>100055</v>
      </c>
      <c r="C130" t="s">
        <v>106</v>
      </c>
      <c r="D130" s="7">
        <v>423</v>
      </c>
      <c r="E130" t="s">
        <v>93</v>
      </c>
      <c r="F130" t="s">
        <v>85</v>
      </c>
      <c r="G130" s="7">
        <v>29</v>
      </c>
      <c r="H130" s="8">
        <v>25440</v>
      </c>
    </row>
    <row r="131" spans="1:8">
      <c r="A131">
        <v>56</v>
      </c>
      <c r="B131">
        <v>100056</v>
      </c>
      <c r="C131" t="s">
        <v>107</v>
      </c>
      <c r="D131" s="7">
        <v>803</v>
      </c>
      <c r="E131" t="s">
        <v>95</v>
      </c>
      <c r="F131" t="s">
        <v>83</v>
      </c>
      <c r="G131" s="7">
        <v>30</v>
      </c>
      <c r="H131" s="8">
        <v>66194</v>
      </c>
    </row>
    <row r="132" spans="1:8">
      <c r="A132">
        <v>57</v>
      </c>
      <c r="B132">
        <v>100057</v>
      </c>
      <c r="C132" t="s">
        <v>108</v>
      </c>
      <c r="D132" s="7">
        <v>708</v>
      </c>
      <c r="E132" t="s">
        <v>89</v>
      </c>
      <c r="F132" t="s">
        <v>85</v>
      </c>
      <c r="G132" s="7">
        <v>20</v>
      </c>
      <c r="H132" s="8">
        <v>72447</v>
      </c>
    </row>
    <row r="133" spans="1:8">
      <c r="A133">
        <v>58</v>
      </c>
      <c r="B133">
        <v>100058</v>
      </c>
      <c r="C133" t="s">
        <v>109</v>
      </c>
      <c r="D133" s="7">
        <v>578</v>
      </c>
      <c r="E133" t="s">
        <v>91</v>
      </c>
      <c r="F133" t="s">
        <v>83</v>
      </c>
      <c r="G133" s="7">
        <v>47</v>
      </c>
      <c r="H133" s="8">
        <v>195834</v>
      </c>
    </row>
    <row r="134" spans="1:8">
      <c r="A134">
        <v>59</v>
      </c>
      <c r="B134">
        <v>100059</v>
      </c>
      <c r="C134" t="s">
        <v>110</v>
      </c>
      <c r="D134" s="7">
        <v>440</v>
      </c>
      <c r="E134" t="s">
        <v>93</v>
      </c>
      <c r="F134" t="s">
        <v>85</v>
      </c>
      <c r="G134" s="7">
        <v>43</v>
      </c>
      <c r="H134" s="8">
        <v>185910</v>
      </c>
    </row>
    <row r="135" spans="1:8">
      <c r="A135">
        <v>60</v>
      </c>
      <c r="B135">
        <v>100060</v>
      </c>
      <c r="C135" t="s">
        <v>111</v>
      </c>
      <c r="D135" s="7">
        <v>571</v>
      </c>
      <c r="E135" t="s">
        <v>95</v>
      </c>
      <c r="F135" t="s">
        <v>83</v>
      </c>
      <c r="G135" s="7">
        <v>42</v>
      </c>
      <c r="H135" s="8">
        <v>237779</v>
      </c>
    </row>
    <row r="136" spans="1:8">
      <c r="A136">
        <v>61</v>
      </c>
      <c r="B136">
        <v>100061</v>
      </c>
      <c r="C136" t="s">
        <v>88</v>
      </c>
      <c r="D136" s="7">
        <v>830</v>
      </c>
      <c r="E136" t="s">
        <v>89</v>
      </c>
      <c r="F136" t="s">
        <v>85</v>
      </c>
      <c r="G136" s="7">
        <v>57</v>
      </c>
      <c r="H136" s="8">
        <v>187568</v>
      </c>
    </row>
    <row r="137" spans="1:8">
      <c r="A137">
        <v>62</v>
      </c>
      <c r="B137">
        <v>100062</v>
      </c>
      <c r="C137" t="s">
        <v>90</v>
      </c>
      <c r="D137" s="7">
        <v>788</v>
      </c>
      <c r="E137" t="s">
        <v>91</v>
      </c>
      <c r="F137" t="s">
        <v>85</v>
      </c>
      <c r="G137" s="7">
        <v>22</v>
      </c>
      <c r="H137" s="8">
        <v>257156</v>
      </c>
    </row>
    <row r="138" spans="1:8">
      <c r="A138">
        <v>63</v>
      </c>
      <c r="B138">
        <v>100063</v>
      </c>
      <c r="C138" t="s">
        <v>92</v>
      </c>
      <c r="D138" s="7">
        <v>516</v>
      </c>
      <c r="E138" t="s">
        <v>93</v>
      </c>
      <c r="F138" t="s">
        <v>83</v>
      </c>
      <c r="G138" s="7">
        <v>30</v>
      </c>
      <c r="H138" s="8">
        <v>68963</v>
      </c>
    </row>
    <row r="139" spans="1:8">
      <c r="A139">
        <v>64</v>
      </c>
      <c r="B139">
        <v>100064</v>
      </c>
      <c r="C139" t="s">
        <v>94</v>
      </c>
      <c r="D139" s="7">
        <v>573</v>
      </c>
      <c r="E139" t="s">
        <v>95</v>
      </c>
      <c r="F139" t="s">
        <v>85</v>
      </c>
      <c r="G139" s="7">
        <v>47</v>
      </c>
      <c r="H139" s="8">
        <v>157806</v>
      </c>
    </row>
    <row r="140" spans="1:8">
      <c r="A140">
        <v>65</v>
      </c>
      <c r="B140">
        <v>100065</v>
      </c>
      <c r="C140" t="s">
        <v>96</v>
      </c>
      <c r="D140" s="7">
        <v>669</v>
      </c>
      <c r="E140" t="s">
        <v>89</v>
      </c>
      <c r="F140" t="s">
        <v>85</v>
      </c>
      <c r="G140" s="7">
        <v>38</v>
      </c>
      <c r="H140" s="8">
        <v>166014</v>
      </c>
    </row>
    <row r="141" spans="1:8">
      <c r="A141">
        <v>66</v>
      </c>
      <c r="B141">
        <v>100066</v>
      </c>
      <c r="C141" t="s">
        <v>97</v>
      </c>
      <c r="D141" s="7">
        <v>442</v>
      </c>
      <c r="E141" t="s">
        <v>91</v>
      </c>
      <c r="F141" t="s">
        <v>83</v>
      </c>
      <c r="G141" s="7">
        <v>41</v>
      </c>
      <c r="H141" s="8">
        <v>24054</v>
      </c>
    </row>
    <row r="142" spans="1:8">
      <c r="A142">
        <v>67</v>
      </c>
      <c r="B142">
        <v>100067</v>
      </c>
      <c r="C142" t="s">
        <v>98</v>
      </c>
      <c r="D142" s="7">
        <v>515</v>
      </c>
      <c r="E142" t="s">
        <v>93</v>
      </c>
      <c r="F142" t="s">
        <v>83</v>
      </c>
      <c r="G142" s="7">
        <v>31</v>
      </c>
      <c r="H142" s="8">
        <v>152853</v>
      </c>
    </row>
    <row r="143" spans="1:8">
      <c r="A143">
        <v>68</v>
      </c>
      <c r="B143">
        <v>100068</v>
      </c>
      <c r="C143" t="s">
        <v>99</v>
      </c>
      <c r="D143" s="7">
        <v>404</v>
      </c>
      <c r="E143" t="s">
        <v>95</v>
      </c>
      <c r="F143" t="s">
        <v>83</v>
      </c>
      <c r="G143" s="7">
        <v>19</v>
      </c>
      <c r="H143" s="8">
        <v>189931</v>
      </c>
    </row>
    <row r="144" spans="1:8">
      <c r="A144">
        <v>69</v>
      </c>
      <c r="B144">
        <v>100069</v>
      </c>
      <c r="C144" t="s">
        <v>100</v>
      </c>
      <c r="D144" s="7">
        <v>371</v>
      </c>
      <c r="E144" t="s">
        <v>89</v>
      </c>
      <c r="F144" t="s">
        <v>85</v>
      </c>
      <c r="G144" s="7">
        <v>38</v>
      </c>
      <c r="H144" s="8">
        <v>220173</v>
      </c>
    </row>
    <row r="145" spans="1:8">
      <c r="A145">
        <v>70</v>
      </c>
      <c r="B145">
        <v>100070</v>
      </c>
      <c r="C145" t="s">
        <v>101</v>
      </c>
      <c r="D145" s="7">
        <v>686</v>
      </c>
      <c r="E145" t="s">
        <v>91</v>
      </c>
      <c r="F145" t="s">
        <v>83</v>
      </c>
      <c r="G145" s="7">
        <v>47</v>
      </c>
      <c r="H145" s="8">
        <v>147823</v>
      </c>
    </row>
    <row r="146" spans="1:8">
      <c r="A146">
        <v>71</v>
      </c>
      <c r="B146">
        <v>100071</v>
      </c>
      <c r="C146" t="s">
        <v>102</v>
      </c>
      <c r="D146" s="7">
        <v>699</v>
      </c>
      <c r="E146" t="s">
        <v>93</v>
      </c>
      <c r="F146" t="s">
        <v>83</v>
      </c>
      <c r="G146" s="7">
        <v>47</v>
      </c>
      <c r="H146" s="8">
        <v>34827</v>
      </c>
    </row>
    <row r="147" spans="1:8">
      <c r="A147">
        <v>72</v>
      </c>
      <c r="B147">
        <v>100072</v>
      </c>
      <c r="C147" t="s">
        <v>103</v>
      </c>
      <c r="D147" s="7">
        <v>429</v>
      </c>
      <c r="E147" t="s">
        <v>95</v>
      </c>
      <c r="F147" t="s">
        <v>85</v>
      </c>
      <c r="G147" s="7">
        <v>23</v>
      </c>
      <c r="H147" s="8">
        <v>126267</v>
      </c>
    </row>
    <row r="148" spans="1:8">
      <c r="A148">
        <v>73</v>
      </c>
      <c r="B148">
        <v>100073</v>
      </c>
      <c r="C148" t="s">
        <v>104</v>
      </c>
      <c r="D148" s="7">
        <v>582</v>
      </c>
      <c r="E148" t="s">
        <v>89</v>
      </c>
      <c r="F148" t="s">
        <v>85</v>
      </c>
      <c r="G148" s="7">
        <v>42</v>
      </c>
      <c r="H148" s="8">
        <v>217038</v>
      </c>
    </row>
    <row r="149" spans="1:8">
      <c r="A149">
        <v>74</v>
      </c>
      <c r="B149">
        <v>100074</v>
      </c>
      <c r="C149" t="s">
        <v>105</v>
      </c>
      <c r="D149" s="7">
        <v>525</v>
      </c>
      <c r="E149" t="s">
        <v>91</v>
      </c>
      <c r="F149" t="s">
        <v>85</v>
      </c>
      <c r="G149" s="7">
        <v>50</v>
      </c>
      <c r="H149" s="8">
        <v>49390</v>
      </c>
    </row>
    <row r="150" spans="1:8">
      <c r="A150">
        <v>75</v>
      </c>
      <c r="B150">
        <v>100075</v>
      </c>
      <c r="C150" t="s">
        <v>106</v>
      </c>
      <c r="D150" s="7">
        <v>562</v>
      </c>
      <c r="E150" t="s">
        <v>93</v>
      </c>
      <c r="F150" t="s">
        <v>83</v>
      </c>
      <c r="G150" s="7">
        <v>44</v>
      </c>
      <c r="H150" s="8">
        <v>29342</v>
      </c>
    </row>
    <row r="151" spans="1:8">
      <c r="A151">
        <v>76</v>
      </c>
      <c r="B151">
        <v>100076</v>
      </c>
      <c r="C151" t="s">
        <v>107</v>
      </c>
      <c r="D151" s="7">
        <v>459</v>
      </c>
      <c r="E151" t="s">
        <v>95</v>
      </c>
      <c r="F151" t="s">
        <v>83</v>
      </c>
      <c r="G151" s="7">
        <v>51</v>
      </c>
      <c r="H151" s="8">
        <v>185338</v>
      </c>
    </row>
    <row r="152" spans="1:8">
      <c r="A152">
        <v>77</v>
      </c>
      <c r="B152">
        <v>100077</v>
      </c>
      <c r="C152" t="s">
        <v>108</v>
      </c>
      <c r="D152" s="7">
        <v>485</v>
      </c>
      <c r="E152" t="s">
        <v>89</v>
      </c>
      <c r="F152" t="s">
        <v>83</v>
      </c>
      <c r="G152" s="7">
        <v>56</v>
      </c>
      <c r="H152" s="8">
        <v>240884</v>
      </c>
    </row>
    <row r="153" spans="1:8">
      <c r="A153">
        <v>78</v>
      </c>
      <c r="B153">
        <v>100078</v>
      </c>
      <c r="C153" t="s">
        <v>109</v>
      </c>
      <c r="D153" s="7">
        <v>400</v>
      </c>
      <c r="E153" t="s">
        <v>91</v>
      </c>
      <c r="F153" t="s">
        <v>83</v>
      </c>
      <c r="G153" s="7">
        <v>47</v>
      </c>
      <c r="H153" s="8">
        <v>28270</v>
      </c>
    </row>
    <row r="154" spans="1:8">
      <c r="A154">
        <v>79</v>
      </c>
      <c r="B154">
        <v>100079</v>
      </c>
      <c r="C154" t="s">
        <v>110</v>
      </c>
      <c r="D154" s="7">
        <v>385</v>
      </c>
      <c r="E154" t="s">
        <v>93</v>
      </c>
      <c r="F154" t="s">
        <v>83</v>
      </c>
      <c r="G154" s="7">
        <v>50</v>
      </c>
      <c r="H154" s="8">
        <v>28870</v>
      </c>
    </row>
    <row r="155" spans="1:8">
      <c r="A155">
        <v>80</v>
      </c>
      <c r="B155">
        <v>100080</v>
      </c>
      <c r="C155" t="s">
        <v>111</v>
      </c>
      <c r="D155" s="7">
        <v>753</v>
      </c>
      <c r="E155" t="s">
        <v>95</v>
      </c>
      <c r="F155" t="s">
        <v>83</v>
      </c>
      <c r="G155" s="7">
        <v>58</v>
      </c>
      <c r="H155" s="8">
        <v>100930</v>
      </c>
    </row>
    <row r="156" spans="1:8">
      <c r="A156">
        <v>81</v>
      </c>
      <c r="B156">
        <v>100081</v>
      </c>
      <c r="C156" t="s">
        <v>88</v>
      </c>
      <c r="D156" s="7">
        <v>579</v>
      </c>
      <c r="E156" t="s">
        <v>89</v>
      </c>
      <c r="F156" t="s">
        <v>85</v>
      </c>
      <c r="G156" s="7">
        <v>36</v>
      </c>
      <c r="H156" s="8">
        <v>24242</v>
      </c>
    </row>
    <row r="157" spans="1:8">
      <c r="A157">
        <v>82</v>
      </c>
      <c r="B157">
        <v>100082</v>
      </c>
      <c r="C157" t="s">
        <v>90</v>
      </c>
      <c r="D157" s="7">
        <v>623</v>
      </c>
      <c r="E157" t="s">
        <v>91</v>
      </c>
      <c r="F157" t="s">
        <v>85</v>
      </c>
      <c r="G157" s="7">
        <v>26</v>
      </c>
      <c r="H157" s="8">
        <v>176598</v>
      </c>
    </row>
    <row r="158" spans="1:8">
      <c r="A158">
        <v>83</v>
      </c>
      <c r="B158">
        <v>100083</v>
      </c>
      <c r="C158" t="s">
        <v>92</v>
      </c>
      <c r="D158" s="7">
        <v>547</v>
      </c>
      <c r="E158" t="s">
        <v>93</v>
      </c>
      <c r="F158" t="s">
        <v>83</v>
      </c>
      <c r="G158" s="7">
        <v>48</v>
      </c>
      <c r="H158" s="8">
        <v>190550</v>
      </c>
    </row>
    <row r="159" spans="1:8">
      <c r="A159">
        <v>84</v>
      </c>
      <c r="B159">
        <v>100084</v>
      </c>
      <c r="C159" t="s">
        <v>94</v>
      </c>
      <c r="D159" s="7">
        <v>791</v>
      </c>
      <c r="E159" t="s">
        <v>95</v>
      </c>
      <c r="F159" t="s">
        <v>83</v>
      </c>
      <c r="G159" s="7">
        <v>35</v>
      </c>
      <c r="H159" s="8">
        <v>189651</v>
      </c>
    </row>
    <row r="160" spans="1:8">
      <c r="A160">
        <v>85</v>
      </c>
      <c r="B160">
        <v>100085</v>
      </c>
      <c r="C160" t="s">
        <v>96</v>
      </c>
      <c r="D160" s="7">
        <v>801</v>
      </c>
      <c r="E160" t="s">
        <v>89</v>
      </c>
      <c r="F160" t="s">
        <v>83</v>
      </c>
      <c r="G160" s="7">
        <v>46</v>
      </c>
      <c r="H160" s="8">
        <v>207146</v>
      </c>
    </row>
    <row r="161" spans="1:8">
      <c r="A161">
        <v>86</v>
      </c>
      <c r="B161">
        <v>100086</v>
      </c>
      <c r="C161" t="s">
        <v>97</v>
      </c>
      <c r="D161" s="7">
        <v>619</v>
      </c>
      <c r="E161" t="s">
        <v>91</v>
      </c>
      <c r="F161" t="s">
        <v>83</v>
      </c>
      <c r="G161" s="7">
        <v>31</v>
      </c>
      <c r="H161" s="8">
        <v>45891</v>
      </c>
    </row>
    <row r="162" spans="1:8">
      <c r="A162">
        <v>87</v>
      </c>
      <c r="B162">
        <v>100087</v>
      </c>
      <c r="C162" t="s">
        <v>98</v>
      </c>
      <c r="D162" s="7">
        <v>810</v>
      </c>
      <c r="E162" t="s">
        <v>93</v>
      </c>
      <c r="F162" t="s">
        <v>83</v>
      </c>
      <c r="G162" s="7">
        <v>37</v>
      </c>
      <c r="H162" s="8">
        <v>127283</v>
      </c>
    </row>
    <row r="163" spans="1:8">
      <c r="A163">
        <v>88</v>
      </c>
      <c r="B163">
        <v>100088</v>
      </c>
      <c r="C163" t="s">
        <v>99</v>
      </c>
      <c r="D163" s="7">
        <v>376</v>
      </c>
      <c r="E163" t="s">
        <v>95</v>
      </c>
      <c r="F163" t="s">
        <v>83</v>
      </c>
      <c r="G163" s="7">
        <v>21</v>
      </c>
      <c r="H163" s="8">
        <v>12983</v>
      </c>
    </row>
    <row r="164" spans="1:8">
      <c r="A164">
        <v>89</v>
      </c>
      <c r="B164">
        <v>100089</v>
      </c>
      <c r="C164" t="s">
        <v>100</v>
      </c>
      <c r="D164" s="7">
        <v>434</v>
      </c>
      <c r="E164" t="s">
        <v>89</v>
      </c>
      <c r="F164" t="s">
        <v>85</v>
      </c>
      <c r="G164" s="7">
        <v>42</v>
      </c>
      <c r="H164" s="8">
        <v>232375</v>
      </c>
    </row>
    <row r="165" spans="1:8">
      <c r="A165">
        <v>90</v>
      </c>
      <c r="B165">
        <v>100090</v>
      </c>
      <c r="C165" t="s">
        <v>101</v>
      </c>
      <c r="D165" s="7">
        <v>431</v>
      </c>
      <c r="E165" t="s">
        <v>91</v>
      </c>
      <c r="F165" t="s">
        <v>85</v>
      </c>
      <c r="G165" s="7">
        <v>33</v>
      </c>
      <c r="H165" s="8">
        <v>49938</v>
      </c>
    </row>
    <row r="166" spans="1:8">
      <c r="A166">
        <v>91</v>
      </c>
      <c r="B166">
        <v>100091</v>
      </c>
      <c r="C166" t="s">
        <v>102</v>
      </c>
      <c r="D166" s="7">
        <v>548</v>
      </c>
      <c r="E166" t="s">
        <v>93</v>
      </c>
      <c r="F166" t="s">
        <v>83</v>
      </c>
      <c r="G166" s="7">
        <v>42</v>
      </c>
      <c r="H166" s="8">
        <v>136016</v>
      </c>
    </row>
    <row r="167" spans="1:8">
      <c r="A167">
        <v>92</v>
      </c>
      <c r="B167">
        <v>100092</v>
      </c>
      <c r="C167" t="s">
        <v>103</v>
      </c>
      <c r="D167" s="7">
        <v>563</v>
      </c>
      <c r="E167" t="s">
        <v>95</v>
      </c>
      <c r="F167" t="s">
        <v>83</v>
      </c>
      <c r="G167" s="7">
        <v>53</v>
      </c>
      <c r="H167" s="8">
        <v>55876</v>
      </c>
    </row>
    <row r="168" spans="1:8">
      <c r="A168">
        <v>93</v>
      </c>
      <c r="B168">
        <v>100093</v>
      </c>
      <c r="C168" t="s">
        <v>104</v>
      </c>
      <c r="D168" s="7">
        <v>714</v>
      </c>
      <c r="E168" t="s">
        <v>89</v>
      </c>
      <c r="F168" t="s">
        <v>85</v>
      </c>
      <c r="G168" s="7">
        <v>21</v>
      </c>
      <c r="H168" s="8">
        <v>201405</v>
      </c>
    </row>
    <row r="169" spans="1:8">
      <c r="A169">
        <v>94</v>
      </c>
      <c r="B169">
        <v>100094</v>
      </c>
      <c r="C169" t="s">
        <v>105</v>
      </c>
      <c r="D169" s="7">
        <v>722</v>
      </c>
      <c r="E169" t="s">
        <v>91</v>
      </c>
      <c r="F169" t="s">
        <v>85</v>
      </c>
      <c r="G169" s="7">
        <v>25</v>
      </c>
      <c r="H169" s="8">
        <v>236344</v>
      </c>
    </row>
    <row r="170" spans="1:8">
      <c r="A170">
        <v>95</v>
      </c>
      <c r="B170">
        <v>100095</v>
      </c>
      <c r="C170" t="s">
        <v>106</v>
      </c>
      <c r="D170" s="7">
        <v>671</v>
      </c>
      <c r="E170" t="s">
        <v>93</v>
      </c>
      <c r="F170" t="s">
        <v>85</v>
      </c>
      <c r="G170" s="7">
        <v>48</v>
      </c>
      <c r="H170" s="8">
        <v>35491</v>
      </c>
    </row>
    <row r="171" spans="1:8">
      <c r="A171">
        <v>96</v>
      </c>
      <c r="B171">
        <v>100096</v>
      </c>
      <c r="C171" t="s">
        <v>107</v>
      </c>
      <c r="D171" s="7">
        <v>434</v>
      </c>
      <c r="E171" t="s">
        <v>95</v>
      </c>
      <c r="F171" t="s">
        <v>85</v>
      </c>
      <c r="G171" s="7">
        <v>37</v>
      </c>
      <c r="H171" s="8">
        <v>14973</v>
      </c>
    </row>
    <row r="172" spans="1:8">
      <c r="A172">
        <v>97</v>
      </c>
      <c r="B172">
        <v>100097</v>
      </c>
      <c r="C172" t="s">
        <v>108</v>
      </c>
      <c r="D172" s="7">
        <v>435</v>
      </c>
      <c r="E172" t="s">
        <v>89</v>
      </c>
      <c r="F172" t="s">
        <v>83</v>
      </c>
      <c r="G172" s="7">
        <v>38</v>
      </c>
      <c r="H172" s="8">
        <v>155262</v>
      </c>
    </row>
    <row r="173" spans="1:8">
      <c r="A173">
        <v>98</v>
      </c>
      <c r="B173">
        <v>100098</v>
      </c>
      <c r="C173" t="s">
        <v>109</v>
      </c>
      <c r="D173" s="7">
        <v>657</v>
      </c>
      <c r="E173" t="s">
        <v>91</v>
      </c>
      <c r="F173" t="s">
        <v>85</v>
      </c>
      <c r="G173" s="7">
        <v>30</v>
      </c>
      <c r="H173" s="8">
        <v>95286</v>
      </c>
    </row>
    <row r="174" spans="1:8">
      <c r="A174">
        <v>99</v>
      </c>
      <c r="B174">
        <v>100099</v>
      </c>
      <c r="C174" t="s">
        <v>110</v>
      </c>
      <c r="D174" s="7">
        <v>682</v>
      </c>
      <c r="E174" t="s">
        <v>93</v>
      </c>
      <c r="F174" t="s">
        <v>85</v>
      </c>
      <c r="G174" s="7">
        <v>30</v>
      </c>
      <c r="H174" s="8">
        <v>100607</v>
      </c>
    </row>
    <row r="175" spans="1:8">
      <c r="A175">
        <v>100</v>
      </c>
      <c r="B175">
        <v>100100</v>
      </c>
      <c r="C175" t="s">
        <v>111</v>
      </c>
      <c r="D175" s="7">
        <v>491</v>
      </c>
      <c r="E175" t="s">
        <v>95</v>
      </c>
      <c r="F175" t="s">
        <v>83</v>
      </c>
      <c r="G175" s="7">
        <v>51</v>
      </c>
      <c r="H175" s="8">
        <v>60230</v>
      </c>
    </row>
    <row r="192" ht="24.75" customHeight="1"/>
    <row r="193" spans="5:7" ht="29.25" customHeight="1"/>
    <row r="194" spans="5:7" ht="75" customHeight="1"/>
    <row r="195" spans="5:7" ht="90" customHeight="1">
      <c r="E195" s="11" t="s">
        <v>125</v>
      </c>
      <c r="F195" s="11" t="s">
        <v>126</v>
      </c>
      <c r="G195" s="11" t="s">
        <v>127</v>
      </c>
    </row>
    <row r="196" spans="5:7" ht="88.5" customHeight="1">
      <c r="E196" s="10" t="s">
        <v>128</v>
      </c>
      <c r="G196">
        <v>125000</v>
      </c>
    </row>
    <row r="197" spans="5:7" ht="84" customHeight="1">
      <c r="E197" s="12" t="s">
        <v>129</v>
      </c>
      <c r="G197">
        <v>150000</v>
      </c>
    </row>
    <row r="198" spans="5:7" ht="87" customHeight="1">
      <c r="E198" s="13" t="s">
        <v>130</v>
      </c>
      <c r="G198">
        <v>487584</v>
      </c>
    </row>
    <row r="199" spans="5:7" ht="90.75" customHeight="1">
      <c r="E199" s="12" t="s">
        <v>131</v>
      </c>
      <c r="G199">
        <v>6575756</v>
      </c>
    </row>
    <row r="209" spans="5:7">
      <c r="E209" s="9"/>
      <c r="F209" s="9"/>
      <c r="G209" s="9"/>
    </row>
  </sheetData>
  <mergeCells count="3">
    <mergeCell ref="K3:L3"/>
    <mergeCell ref="G3:H3"/>
    <mergeCell ref="F29:G29"/>
  </mergeCells>
  <phoneticPr fontId="6" type="noConversion"/>
  <pageMargins left="0.7" right="0.7" top="0.75" bottom="0.75" header="0.3" footer="0.3"/>
  <drawing r:id="rId1"/>
  <tableParts count="15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MITS</dc:creator>
  <cp:lastModifiedBy>MITS</cp:lastModifiedBy>
  <dcterms:created xsi:type="dcterms:W3CDTF">2026-06-01T09:14:42Z</dcterms:created>
  <dcterms:modified xsi:type="dcterms:W3CDTF">2026-06-08T04:12:02Z</dcterms:modified>
</cp:coreProperties>
</file>